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han\Desktop\"/>
    </mc:Choice>
  </mc:AlternateContent>
  <xr:revisionPtr revIDLastSave="0" documentId="13_ncr:1_{4C1C0DB4-8C30-4E32-8095-4F33BAE6AECE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server1" sheetId="1" r:id="rId1"/>
    <sheet name="server1 chi square" sheetId="3" r:id="rId2"/>
    <sheet name="server1 Histogram" sheetId="14" r:id="rId3"/>
    <sheet name="server 2" sheetId="11" r:id="rId4"/>
    <sheet name="server2 chi square" sheetId="5" r:id="rId5"/>
    <sheet name="server2  Histogram" sheetId="15" r:id="rId6"/>
  </sheets>
  <calcPr calcId="191029"/>
</workbook>
</file>

<file path=xl/calcChain.xml><?xml version="1.0" encoding="utf-8"?>
<calcChain xmlns="http://schemas.openxmlformats.org/spreadsheetml/2006/main">
  <c r="D99" i="5" l="1"/>
  <c r="H91" i="5"/>
  <c r="H92" i="5"/>
  <c r="H93" i="5"/>
  <c r="H94" i="5"/>
  <c r="H90" i="5"/>
  <c r="G91" i="5"/>
  <c r="G92" i="5"/>
  <c r="G93" i="5"/>
  <c r="G94" i="5"/>
  <c r="G90" i="5"/>
  <c r="E94" i="5"/>
  <c r="E93" i="5"/>
  <c r="E92" i="5"/>
  <c r="F94" i="5"/>
  <c r="F93" i="5"/>
  <c r="F92" i="5"/>
  <c r="E91" i="5"/>
  <c r="F91" i="5"/>
  <c r="F90" i="5"/>
  <c r="D20" i="5"/>
  <c r="H13" i="5"/>
  <c r="H14" i="5"/>
  <c r="H15" i="5"/>
  <c r="H16" i="5"/>
  <c r="H12" i="5"/>
  <c r="G13" i="5"/>
  <c r="G14" i="5"/>
  <c r="G15" i="5"/>
  <c r="G16" i="5"/>
  <c r="G12" i="5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5" i="1"/>
  <c r="I126" i="1"/>
  <c r="I127" i="1"/>
  <c r="I128" i="1"/>
  <c r="I129" i="1"/>
  <c r="I130" i="1"/>
  <c r="I131" i="1"/>
  <c r="I132" i="1"/>
  <c r="I133" i="1"/>
  <c r="I6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5" i="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7" i="11"/>
  <c r="I128" i="11"/>
  <c r="I129" i="11"/>
  <c r="I130" i="11"/>
  <c r="I131" i="11"/>
  <c r="I132" i="11"/>
  <c r="I133" i="11"/>
  <c r="I134" i="11"/>
  <c r="I135" i="11"/>
  <c r="I6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5" i="1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5" i="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5" i="1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5" i="1"/>
  <c r="J85" i="5"/>
  <c r="J84" i="5"/>
  <c r="J83" i="5"/>
  <c r="J82" i="5"/>
  <c r="J33" i="5"/>
  <c r="J32" i="5"/>
  <c r="J31" i="5"/>
  <c r="J30" i="5"/>
  <c r="E69" i="5"/>
  <c r="F69" i="5" s="1"/>
  <c r="E68" i="5"/>
  <c r="F68" i="5" s="1"/>
  <c r="E67" i="5"/>
  <c r="F67" i="5" s="1"/>
  <c r="E66" i="5"/>
  <c r="F66" i="5" s="1"/>
  <c r="E65" i="5"/>
  <c r="F65" i="5" s="1"/>
  <c r="J60" i="5"/>
  <c r="J59" i="5"/>
  <c r="J58" i="5"/>
  <c r="J57" i="5"/>
  <c r="D74" i="5" l="1"/>
  <c r="E42" i="5" l="1"/>
  <c r="F42" i="5" s="1"/>
  <c r="E41" i="5"/>
  <c r="E40" i="5"/>
  <c r="F40" i="5" s="1"/>
  <c r="E39" i="5"/>
  <c r="E38" i="5"/>
  <c r="D16" i="3"/>
  <c r="E16" i="3" s="1"/>
  <c r="D15" i="3"/>
  <c r="D14" i="3"/>
  <c r="E14" i="3" s="1"/>
  <c r="D13" i="3"/>
  <c r="D12" i="3"/>
  <c r="E12" i="3" s="1"/>
  <c r="D41" i="3"/>
  <c r="D40" i="3"/>
  <c r="D39" i="3"/>
  <c r="D38" i="3"/>
  <c r="E41" i="3"/>
  <c r="D37" i="3"/>
  <c r="E37" i="3"/>
  <c r="J7" i="5"/>
  <c r="J6" i="5"/>
  <c r="J5" i="5"/>
  <c r="J4" i="5"/>
  <c r="I32" i="3"/>
  <c r="I31" i="3"/>
  <c r="I30" i="3"/>
  <c r="I29" i="3"/>
  <c r="H7" i="3"/>
  <c r="H6" i="3"/>
  <c r="H5" i="3"/>
  <c r="H4" i="3"/>
  <c r="F41" i="5"/>
  <c r="F39" i="5"/>
  <c r="F38" i="5"/>
  <c r="E40" i="3"/>
  <c r="E39" i="3"/>
  <c r="E38" i="3"/>
  <c r="E15" i="3"/>
  <c r="E13" i="3"/>
  <c r="C46" i="3" l="1"/>
  <c r="C20" i="3"/>
  <c r="D4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9170B4-8174-43D6-B7DA-5C8D59B9F6A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<sst xmlns="http://schemas.openxmlformats.org/spreadsheetml/2006/main" count="1033" uniqueCount="199">
  <si>
    <t>Arrival Time</t>
  </si>
  <si>
    <t>Start Time</t>
  </si>
  <si>
    <t>End Time</t>
  </si>
  <si>
    <t>18:04</t>
  </si>
  <si>
    <t>18:05</t>
  </si>
  <si>
    <t>18:07</t>
  </si>
  <si>
    <t>18:09</t>
  </si>
  <si>
    <t>18:10</t>
  </si>
  <si>
    <t>18:12</t>
  </si>
  <si>
    <t>18:18</t>
  </si>
  <si>
    <t>18:19</t>
  </si>
  <si>
    <t>18:20</t>
  </si>
  <si>
    <t>18:23</t>
  </si>
  <si>
    <t>18:24</t>
  </si>
  <si>
    <t>18:26</t>
  </si>
  <si>
    <t>18:27</t>
  </si>
  <si>
    <t>18:28</t>
  </si>
  <si>
    <t>18:30</t>
  </si>
  <si>
    <t>18:38</t>
  </si>
  <si>
    <t>18:40</t>
  </si>
  <si>
    <t>18:41</t>
  </si>
  <si>
    <t>18:43</t>
  </si>
  <si>
    <t>18:48</t>
  </si>
  <si>
    <t>18:50</t>
  </si>
  <si>
    <t>18:21</t>
  </si>
  <si>
    <t>18:22</t>
  </si>
  <si>
    <t>18:31</t>
  </si>
  <si>
    <t>18:34</t>
  </si>
  <si>
    <t>18:39</t>
  </si>
  <si>
    <t>18:44</t>
  </si>
  <si>
    <t>18:45</t>
  </si>
  <si>
    <t>18:46</t>
  </si>
  <si>
    <t>18:52</t>
  </si>
  <si>
    <t>18:56</t>
  </si>
  <si>
    <t>18:57</t>
  </si>
  <si>
    <t>18:59</t>
  </si>
  <si>
    <t>19:05</t>
  </si>
  <si>
    <t>19:07</t>
  </si>
  <si>
    <t>19:11</t>
  </si>
  <si>
    <t>19:18</t>
  </si>
  <si>
    <t>19:23</t>
  </si>
  <si>
    <t>19:26</t>
  </si>
  <si>
    <t>19:29</t>
  </si>
  <si>
    <t>19:30</t>
  </si>
  <si>
    <t>Customers</t>
  </si>
  <si>
    <t>18:00</t>
  </si>
  <si>
    <t>18:11</t>
  </si>
  <si>
    <t>18:06</t>
  </si>
  <si>
    <t>18:16</t>
  </si>
  <si>
    <t>18:33</t>
  </si>
  <si>
    <t>18:35</t>
  </si>
  <si>
    <t>18:49</t>
  </si>
  <si>
    <t>18:53</t>
  </si>
  <si>
    <t>18:58</t>
  </si>
  <si>
    <t>18:29</t>
  </si>
  <si>
    <t>19:02</t>
  </si>
  <si>
    <t>19:04</t>
  </si>
  <si>
    <t>18:42</t>
  </si>
  <si>
    <t>19:13</t>
  </si>
  <si>
    <t>19:14</t>
  </si>
  <si>
    <t>19:21</t>
  </si>
  <si>
    <t>19:28</t>
  </si>
  <si>
    <t>SERVER 1 DATA</t>
  </si>
  <si>
    <t>SERVER 2 DATA</t>
  </si>
  <si>
    <t>NUEPLEX CINEMA DATA</t>
  </si>
  <si>
    <r>
      <t xml:space="preserve">                           </t>
    </r>
    <r>
      <rPr>
        <b/>
        <sz val="14"/>
        <color theme="1"/>
        <rFont val="Calibri"/>
        <family val="2"/>
        <scheme val="minor"/>
      </rPr>
      <t xml:space="preserve">  GROUP 2</t>
    </r>
  </si>
  <si>
    <r>
      <t xml:space="preserve">                           </t>
    </r>
    <r>
      <rPr>
        <b/>
        <sz val="14"/>
        <color theme="1"/>
        <rFont val="Calibri"/>
        <family val="2"/>
        <scheme val="minor"/>
      </rPr>
      <t xml:space="preserve">  </t>
    </r>
  </si>
  <si>
    <t>18:03</t>
  </si>
  <si>
    <t>18:13</t>
  </si>
  <si>
    <t>18:15</t>
  </si>
  <si>
    <t>18:17</t>
  </si>
  <si>
    <t>18:25</t>
  </si>
  <si>
    <t>18:36</t>
  </si>
  <si>
    <t>18:37</t>
  </si>
  <si>
    <t>18:47</t>
  </si>
  <si>
    <t>18:51</t>
  </si>
  <si>
    <t>19:09</t>
  </si>
  <si>
    <t>19:27</t>
  </si>
  <si>
    <t>18:32</t>
  </si>
  <si>
    <t>18:54</t>
  </si>
  <si>
    <t>19:06</t>
  </si>
  <si>
    <t>19:08</t>
  </si>
  <si>
    <t>19:12</t>
  </si>
  <si>
    <t>19:19</t>
  </si>
  <si>
    <t>19:22</t>
  </si>
  <si>
    <t>18:02</t>
  </si>
  <si>
    <t>18:08</t>
  </si>
  <si>
    <t>18:14</t>
  </si>
  <si>
    <t>19:01</t>
  </si>
  <si>
    <t>19:24</t>
  </si>
  <si>
    <t>19:32</t>
  </si>
  <si>
    <t>19:34</t>
  </si>
  <si>
    <t>19:36</t>
  </si>
  <si>
    <t>19:39</t>
  </si>
  <si>
    <t>19:40</t>
  </si>
  <si>
    <t>19:41</t>
  </si>
  <si>
    <t>19:52</t>
  </si>
  <si>
    <t>19:55</t>
  </si>
  <si>
    <t>19:56</t>
  </si>
  <si>
    <t>19:57</t>
  </si>
  <si>
    <t>20:00</t>
  </si>
  <si>
    <t>20:03</t>
  </si>
  <si>
    <t>20:04</t>
  </si>
  <si>
    <t>20:06</t>
  </si>
  <si>
    <t>19:03</t>
  </si>
  <si>
    <t>19:20</t>
  </si>
  <si>
    <t>19:31</t>
  </si>
  <si>
    <t>19:37</t>
  </si>
  <si>
    <t>19:46</t>
  </si>
  <si>
    <t>19:48</t>
  </si>
  <si>
    <t>20:07</t>
  </si>
  <si>
    <t>19:10</t>
  </si>
  <si>
    <t>18:01</t>
  </si>
  <si>
    <t>19:15</t>
  </si>
  <si>
    <t>19:00</t>
  </si>
  <si>
    <t>Duration</t>
  </si>
  <si>
    <t xml:space="preserve">μ=2.68 </t>
  </si>
  <si>
    <t>k=5</t>
  </si>
  <si>
    <t>p=1/k=0.2</t>
  </si>
  <si>
    <t>0-0.6</t>
  </si>
  <si>
    <t>0.6-1.4</t>
  </si>
  <si>
    <t>bin(X)</t>
  </si>
  <si>
    <t>1.4-2.5</t>
  </si>
  <si>
    <t>2.5-4.3</t>
  </si>
  <si>
    <t>4.3-∞</t>
  </si>
  <si>
    <t>observerd f(X)</t>
  </si>
  <si>
    <t>expected f(X)</t>
  </si>
  <si>
    <t>X^2=(O-E)^2/E</t>
  </si>
  <si>
    <t>total</t>
  </si>
  <si>
    <t>chi X^2</t>
  </si>
  <si>
    <t>tabulated value</t>
  </si>
  <si>
    <t>d.f</t>
  </si>
  <si>
    <t>h1= arrival time doesnot follow exponential distribution</t>
  </si>
  <si>
    <t>ho=arrival time follow exponential distribution</t>
  </si>
  <si>
    <t>does not follow</t>
  </si>
  <si>
    <t>exponential distribution</t>
  </si>
  <si>
    <t xml:space="preserve">since </t>
  </si>
  <si>
    <t>Service Time</t>
  </si>
  <si>
    <t xml:space="preserve">Arrival Time </t>
  </si>
  <si>
    <t>h1= service time does not follow poisson distribution</t>
  </si>
  <si>
    <t>h0= service time follow exponential distribution</t>
  </si>
  <si>
    <t>μ=3.907</t>
  </si>
  <si>
    <t>λ=1/μ=0.256</t>
  </si>
  <si>
    <t>0-0.9</t>
  </si>
  <si>
    <t>0.9-2</t>
  </si>
  <si>
    <t>2-3.6</t>
  </si>
  <si>
    <t>3.6-6.3</t>
  </si>
  <si>
    <t>6.3-∞</t>
  </si>
  <si>
    <t>Server 1</t>
  </si>
  <si>
    <t>Server 2</t>
  </si>
  <si>
    <t>μ=2.48</t>
  </si>
  <si>
    <t>λ=1/μ=0.403</t>
  </si>
  <si>
    <t>0.6-1.3</t>
  </si>
  <si>
    <t>1.3-2.3</t>
  </si>
  <si>
    <t>2.3-4</t>
  </si>
  <si>
    <t>4-∞</t>
  </si>
  <si>
    <t>0-0.8</t>
  </si>
  <si>
    <t>0.8-1.9</t>
  </si>
  <si>
    <t>1.9-3.4</t>
  </si>
  <si>
    <t>3.4-6.1</t>
  </si>
  <si>
    <t>6.1-∞</t>
  </si>
  <si>
    <t>λ=1/μ=0.373</t>
  </si>
  <si>
    <t>bin(x)=-1/λln(1-p)</t>
  </si>
  <si>
    <t>bin(x1)</t>
  </si>
  <si>
    <t>bin(x2)</t>
  </si>
  <si>
    <t>bin(x3)</t>
  </si>
  <si>
    <t>bin(x4)</t>
  </si>
  <si>
    <t>bin(x5)</t>
  </si>
  <si>
    <t>∞</t>
  </si>
  <si>
    <t>expected f(X)=e^-λa-e^-λb</t>
  </si>
  <si>
    <t>exp(X1)</t>
  </si>
  <si>
    <t>8.970&gt;7.815 ho is rejected and h1 is accepted which means arrival time does not follow exponential distribution</t>
  </si>
  <si>
    <t>47.199&gt;7.815 ho is rejected and h1 is accepted which means service time does not follow exponential distribution</t>
  </si>
  <si>
    <t>42.242&gt;7.815 ho is rejected and h1 is accepted which means service time does not follow exponential distribution</t>
  </si>
  <si>
    <t>h0= service time follow gamma distribution</t>
  </si>
  <si>
    <t>h1= service time does not follow gamma distribution</t>
  </si>
  <si>
    <t>14.0454&gt;5.991 ho is rejected and h1 is accepted which means service time does not follow gamma distribution</t>
  </si>
  <si>
    <t>μ=3.7557</t>
  </si>
  <si>
    <t>λ=1/μ=0.266</t>
  </si>
  <si>
    <t>θ^=2.0896</t>
  </si>
  <si>
    <t>a^=1.7973</t>
  </si>
  <si>
    <t>expected F(bi​;α^,θ^)−F(ai​;α^,θ^)</t>
  </si>
  <si>
    <t>h0= service time follow lognormal distribution</t>
  </si>
  <si>
    <t>h1= service time does not follow lognormal distribution</t>
  </si>
  <si>
    <t>σ^2=0.442</t>
  </si>
  <si>
    <t>σ=0.665</t>
  </si>
  <si>
    <t>μ=1.102</t>
  </si>
  <si>
    <t>Duration (int)</t>
  </si>
  <si>
    <t>InterArrival(int)</t>
  </si>
  <si>
    <t>Arrival Time(int)</t>
  </si>
  <si>
    <t>Bin</t>
  </si>
  <si>
    <t>More</t>
  </si>
  <si>
    <t>Frequency</t>
  </si>
  <si>
    <t>Arrival Histogram</t>
  </si>
  <si>
    <t>Service Histogram</t>
  </si>
  <si>
    <t>lower</t>
  </si>
  <si>
    <t>upper</t>
  </si>
  <si>
    <t>5.9226&lt;7.815 ho is accepted and h1 is rejected which means arrival time does follow exponential distribution</t>
  </si>
  <si>
    <t>3.545&gt;5.991 ho is accepted and h1 is rejected which means service time does follows lognormal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</si>
</sst>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3" xfId="0" applyBorder="1"/>
    <xf numFmtId="0" fontId="1" fillId="0" borderId="5" xfId="0" applyFont="1" applyBorder="1"/>
    <xf numFmtId="0" fontId="0" fillId="0" borderId="0" xfId="0" applyAlignment="1">
      <alignment wrapText="1"/>
    </xf>
    <xf numFmtId="164" fontId="1" fillId="0" borderId="0" xfId="0" applyNumberFormat="1" applyFont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0" fillId="0" borderId="7" xfId="0" applyBorder="1"/>
    <xf numFmtId="0" fontId="1" fillId="0" borderId="7" xfId="0" applyFont="1" applyBorder="1"/>
    <xf numFmtId="0" fontId="0" fillId="0" borderId="8" xfId="0" applyBorder="1"/>
    <xf numFmtId="0" fontId="1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 w="3175">
              <a:solidFill>
                <a:schemeClr val="tx1">
                  <a:lumMod val="95000"/>
                  <a:lumOff val="5000"/>
                </a:schemeClr>
              </a:solidFill>
            </a:ln>
          </c:spPr>
          <c:invertIfNegative val="0"/>
          <c:cat>
            <c:strRef>
              <c:f>'server1 Histogram'!$G$4:$G$13</c:f>
              <c:strCache>
                <c:ptCount val="10"/>
                <c:pt idx="0">
                  <c:v>0</c:v>
                </c:pt>
                <c:pt idx="1">
                  <c:v>1.625</c:v>
                </c:pt>
                <c:pt idx="2">
                  <c:v>3.25</c:v>
                </c:pt>
                <c:pt idx="3">
                  <c:v>4.875</c:v>
                </c:pt>
                <c:pt idx="4">
                  <c:v>6.5</c:v>
                </c:pt>
                <c:pt idx="5">
                  <c:v>8.125</c:v>
                </c:pt>
                <c:pt idx="6">
                  <c:v>9.75</c:v>
                </c:pt>
                <c:pt idx="7">
                  <c:v>11.375</c:v>
                </c:pt>
                <c:pt idx="8">
                  <c:v>13</c:v>
                </c:pt>
                <c:pt idx="9">
                  <c:v>More</c:v>
                </c:pt>
              </c:strCache>
            </c:strRef>
          </c:cat>
          <c:val>
            <c:numRef>
              <c:f>'server1 Histogram'!$H$4:$H$13</c:f>
              <c:numCache>
                <c:formatCode>General</c:formatCode>
                <c:ptCount val="10"/>
                <c:pt idx="0">
                  <c:v>15</c:v>
                </c:pt>
                <c:pt idx="1">
                  <c:v>29</c:v>
                </c:pt>
                <c:pt idx="2">
                  <c:v>49</c:v>
                </c:pt>
                <c:pt idx="3">
                  <c:v>10</c:v>
                </c:pt>
                <c:pt idx="4">
                  <c:v>12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96-4E61-A899-FB24183CF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39566015"/>
        <c:axId val="439565535"/>
      </c:barChart>
      <c:catAx>
        <c:axId val="439566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9565535"/>
        <c:crosses val="autoZero"/>
        <c:auto val="1"/>
        <c:lblAlgn val="ctr"/>
        <c:lblOffset val="100"/>
        <c:noMultiLvlLbl val="0"/>
      </c:catAx>
      <c:valAx>
        <c:axId val="4395655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956601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 w="3175">
              <a:solidFill>
                <a:schemeClr val="tx1">
                  <a:lumMod val="95000"/>
                  <a:lumOff val="5000"/>
                </a:schemeClr>
              </a:solidFill>
            </a:ln>
          </c:spPr>
          <c:invertIfNegative val="0"/>
          <c:cat>
            <c:strRef>
              <c:f>'server1 Histogram'!$G$21:$G$30</c:f>
              <c:strCach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More</c:v>
                </c:pt>
              </c:strCache>
            </c:strRef>
          </c:cat>
          <c:val>
            <c:numRef>
              <c:f>'server1 Histogram'!$H$21:$H$30</c:f>
              <c:numCache>
                <c:formatCode>General</c:formatCode>
                <c:ptCount val="10"/>
                <c:pt idx="0">
                  <c:v>26</c:v>
                </c:pt>
                <c:pt idx="1">
                  <c:v>46</c:v>
                </c:pt>
                <c:pt idx="2">
                  <c:v>23</c:v>
                </c:pt>
                <c:pt idx="3">
                  <c:v>23</c:v>
                </c:pt>
                <c:pt idx="4">
                  <c:v>6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44-4D17-9590-713B13F27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36830271"/>
        <c:axId val="436823551"/>
      </c:barChart>
      <c:catAx>
        <c:axId val="436830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6823551"/>
        <c:crosses val="autoZero"/>
        <c:auto val="1"/>
        <c:lblAlgn val="ctr"/>
        <c:lblOffset val="100"/>
        <c:noMultiLvlLbl val="0"/>
      </c:catAx>
      <c:valAx>
        <c:axId val="436823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6830271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051681684119381E-2"/>
          <c:y val="0.19984872345502266"/>
          <c:w val="0.87214763103065729"/>
          <c:h val="0.6413328561202577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 w="3175">
              <a:solidFill>
                <a:schemeClr val="tx1">
                  <a:lumMod val="95000"/>
                  <a:lumOff val="5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'server2  Histogram'!$F$21:$F$30</c:f>
              <c:strCache>
                <c:ptCount val="10"/>
                <c:pt idx="0">
                  <c:v>1</c:v>
                </c:pt>
                <c:pt idx="1">
                  <c:v>3.125</c:v>
                </c:pt>
                <c:pt idx="2">
                  <c:v>5.25</c:v>
                </c:pt>
                <c:pt idx="3">
                  <c:v>7.375</c:v>
                </c:pt>
                <c:pt idx="4">
                  <c:v>9.5</c:v>
                </c:pt>
                <c:pt idx="5">
                  <c:v>11.625</c:v>
                </c:pt>
                <c:pt idx="6">
                  <c:v>13.75</c:v>
                </c:pt>
                <c:pt idx="7">
                  <c:v>15.875</c:v>
                </c:pt>
                <c:pt idx="8">
                  <c:v>18</c:v>
                </c:pt>
                <c:pt idx="9">
                  <c:v>More</c:v>
                </c:pt>
              </c:strCache>
            </c:strRef>
          </c:cat>
          <c:val>
            <c:numRef>
              <c:f>'server2  Histogram'!$G$21:$G$30</c:f>
              <c:numCache>
                <c:formatCode>General</c:formatCode>
                <c:ptCount val="10"/>
                <c:pt idx="0">
                  <c:v>30</c:v>
                </c:pt>
                <c:pt idx="1">
                  <c:v>43</c:v>
                </c:pt>
                <c:pt idx="2">
                  <c:v>31</c:v>
                </c:pt>
                <c:pt idx="3">
                  <c:v>17</c:v>
                </c:pt>
                <c:pt idx="4">
                  <c:v>6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ED-48C6-8345-5514BDE664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436815871"/>
        <c:axId val="436803391"/>
      </c:barChart>
      <c:catAx>
        <c:axId val="436815871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6803391"/>
        <c:crosses val="autoZero"/>
        <c:auto val="1"/>
        <c:lblAlgn val="ctr"/>
        <c:lblOffset val="100"/>
        <c:noMultiLvlLbl val="0"/>
      </c:catAx>
      <c:valAx>
        <c:axId val="436803391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6815871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 w="3175">
              <a:solidFill>
                <a:schemeClr val="tx1">
                  <a:lumMod val="95000"/>
                  <a:lumOff val="5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'server2  Histogram'!$F$5:$F$10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More</c:v>
                </c:pt>
              </c:strCache>
            </c:strRef>
          </c:cat>
          <c:val>
            <c:numRef>
              <c:f>'server2  Histogram'!$G$5:$G$10</c:f>
              <c:numCache>
                <c:formatCode>General</c:formatCode>
                <c:ptCount val="6"/>
                <c:pt idx="0">
                  <c:v>46</c:v>
                </c:pt>
                <c:pt idx="1">
                  <c:v>32</c:v>
                </c:pt>
                <c:pt idx="2">
                  <c:v>23</c:v>
                </c:pt>
                <c:pt idx="3">
                  <c:v>15</c:v>
                </c:pt>
                <c:pt idx="4">
                  <c:v>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7C-4DB4-A954-09D16EBBFF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604287487"/>
        <c:axId val="604277887"/>
      </c:barChart>
      <c:catAx>
        <c:axId val="604287487"/>
        <c:scaling>
          <c:orientation val="minMax"/>
        </c:scaling>
        <c:delete val="1"/>
        <c:axPos val="b"/>
        <c:title>
          <c:overlay val="0"/>
        </c:title>
        <c:numFmt formatCode="General" sourceLinked="1"/>
        <c:majorTickMark val="out"/>
        <c:minorTickMark val="none"/>
        <c:tickLblPos val="nextTo"/>
        <c:crossAx val="604277887"/>
        <c:crosses val="autoZero"/>
        <c:auto val="1"/>
        <c:lblAlgn val="ctr"/>
        <c:lblOffset val="100"/>
        <c:noMultiLvlLbl val="0"/>
      </c:catAx>
      <c:valAx>
        <c:axId val="604277887"/>
        <c:scaling>
          <c:orientation val="minMax"/>
        </c:scaling>
        <c:delete val="1"/>
        <c:axPos val="l"/>
        <c:title>
          <c:overlay val="0"/>
        </c:title>
        <c:numFmt formatCode="General" sourceLinked="1"/>
        <c:majorTickMark val="out"/>
        <c:minorTickMark val="none"/>
        <c:tickLblPos val="nextTo"/>
        <c:crossAx val="604287487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3175">
      <a:solidFill>
        <a:schemeClr val="tx1">
          <a:lumMod val="95000"/>
          <a:lumOff val="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19050</xdr:rowOff>
    </xdr:from>
    <xdr:to>
      <xdr:col>15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7F41F-E4A5-859A-9083-612201049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19</xdr:row>
      <xdr:rowOff>9525</xdr:rowOff>
    </xdr:from>
    <xdr:to>
      <xdr:col>15</xdr:col>
      <xdr:colOff>9525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BF0961-D2B4-322F-2101-CB8CA06EB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600076</xdr:colOff>
      <xdr:row>19</xdr:row>
      <xdr:rowOff>0</xdr:rowOff>
    </xdr:from>
    <xdr:to>
      <xdr:col>14</xdr:col>
      <xdr:colOff>28576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683318-BDC8-032E-9ACD-1F9F30088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571500</xdr:colOff>
      <xdr:row>1</xdr:row>
      <xdr:rowOff>171450</xdr:rowOff>
    </xdr:from>
    <xdr:to>
      <xdr:col>13</xdr:col>
      <xdr:colOff>571500</xdr:colOff>
      <xdr:row>11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CB77E4-60A9-4359-04B2-07A3D861D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5"/>
  <sheetViews>
    <sheetView topLeftCell="A109" workbookViewId="0">
      <selection activeCell="G5" sqref="G5:G133"/>
    </sheetView>
  </sheetViews>
  <sheetFormatPr defaultRowHeight="15" x14ac:dyDescent="0.25"/>
  <cols>
    <col min="1" max="1" width="14.42578125" bestFit="1" customWidth="1"/>
    <col min="2" max="2" width="12.28515625" customWidth="1"/>
    <col min="3" max="3" width="13" customWidth="1"/>
    <col min="4" max="4" width="10.85546875" customWidth="1"/>
    <col min="5" max="5" width="10.140625" customWidth="1"/>
    <col min="6" max="6" width="9.140625" customWidth="1"/>
    <col min="7" max="7" width="35.7109375" customWidth="1"/>
    <col min="8" max="8" width="16.42578125" customWidth="1"/>
    <col min="9" max="9" width="16.140625" customWidth="1"/>
    <col min="10" max="10" width="16.5703125" customWidth="1"/>
    <col min="11" max="11" width="11.28515625" customWidth="1"/>
    <col min="12" max="12" width="10.42578125" customWidth="1"/>
  </cols>
  <sheetData>
    <row r="1" spans="1:15" ht="23.25" x14ac:dyDescent="0.35">
      <c r="G1" s="2" t="s">
        <v>64</v>
      </c>
    </row>
    <row r="2" spans="1:15" ht="18.75" x14ac:dyDescent="0.3">
      <c r="G2" t="s">
        <v>65</v>
      </c>
    </row>
    <row r="3" spans="1:15" ht="18.75" x14ac:dyDescent="0.3">
      <c r="A3" s="3" t="s">
        <v>62</v>
      </c>
      <c r="G3" t="s">
        <v>66</v>
      </c>
      <c r="H3" s="3"/>
      <c r="I3" s="3"/>
    </row>
    <row r="4" spans="1:15" x14ac:dyDescent="0.25">
      <c r="B4" s="1" t="s">
        <v>44</v>
      </c>
      <c r="C4" s="1" t="s">
        <v>0</v>
      </c>
      <c r="D4" s="4" t="s">
        <v>1</v>
      </c>
      <c r="E4" s="4" t="s">
        <v>2</v>
      </c>
      <c r="F4" s="4" t="s">
        <v>115</v>
      </c>
      <c r="G4" s="4" t="s">
        <v>187</v>
      </c>
      <c r="H4" s="1" t="s">
        <v>189</v>
      </c>
      <c r="I4" s="1" t="s">
        <v>188</v>
      </c>
      <c r="J4" s="19"/>
      <c r="K4" s="13"/>
      <c r="L4" s="13"/>
      <c r="M4" s="3"/>
    </row>
    <row r="5" spans="1:15" x14ac:dyDescent="0.25">
      <c r="B5" s="14">
        <v>1</v>
      </c>
      <c r="C5" s="14" t="s">
        <v>45</v>
      </c>
      <c r="D5" s="15" t="s">
        <v>45</v>
      </c>
      <c r="E5" s="15" t="s">
        <v>46</v>
      </c>
      <c r="F5" s="15">
        <f>E5-D5</f>
        <v>7.6388888888888618E-3</v>
      </c>
      <c r="G5" s="14">
        <f>F5*60*24</f>
        <v>10.999999999999961</v>
      </c>
      <c r="H5" s="14">
        <f>C5*24*60</f>
        <v>1080</v>
      </c>
      <c r="I5" s="14"/>
      <c r="K5" s="5"/>
      <c r="L5" s="5"/>
    </row>
    <row r="6" spans="1:15" x14ac:dyDescent="0.25">
      <c r="B6" s="14">
        <v>2</v>
      </c>
      <c r="C6" s="14" t="s">
        <v>47</v>
      </c>
      <c r="D6" s="15" t="s">
        <v>46</v>
      </c>
      <c r="E6" s="15" t="s">
        <v>9</v>
      </c>
      <c r="F6" s="15">
        <f t="shared" ref="F6:F69" si="0">E6-D6</f>
        <v>4.8611111111110938E-3</v>
      </c>
      <c r="G6" s="14">
        <f t="shared" ref="G6:G69" si="1">F6*60*24</f>
        <v>6.9999999999999751</v>
      </c>
      <c r="H6" s="14">
        <f t="shared" ref="H6:H69" si="2">C6*24*60</f>
        <v>1086</v>
      </c>
      <c r="I6" s="14">
        <f>H6-H5</f>
        <v>6</v>
      </c>
      <c r="K6" s="5"/>
      <c r="L6" s="5"/>
      <c r="N6" s="5"/>
    </row>
    <row r="7" spans="1:15" x14ac:dyDescent="0.25">
      <c r="B7" s="14">
        <v>3</v>
      </c>
      <c r="C7" s="14" t="s">
        <v>5</v>
      </c>
      <c r="D7" s="15" t="s">
        <v>9</v>
      </c>
      <c r="E7" s="15" t="s">
        <v>14</v>
      </c>
      <c r="F7" s="15">
        <f t="shared" si="0"/>
        <v>5.5555555555556468E-3</v>
      </c>
      <c r="G7" s="14">
        <f t="shared" si="1"/>
        <v>8.0000000000001315</v>
      </c>
      <c r="H7" s="14">
        <f t="shared" si="2"/>
        <v>1087</v>
      </c>
      <c r="I7" s="14">
        <f t="shared" ref="I7:I70" si="3">H7-H6</f>
        <v>1</v>
      </c>
      <c r="K7" s="5"/>
      <c r="L7" s="5"/>
      <c r="N7" s="5"/>
    </row>
    <row r="8" spans="1:15" x14ac:dyDescent="0.25">
      <c r="B8" s="14">
        <v>4</v>
      </c>
      <c r="C8" s="14" t="s">
        <v>48</v>
      </c>
      <c r="D8" s="15" t="s">
        <v>14</v>
      </c>
      <c r="E8" s="15" t="s">
        <v>15</v>
      </c>
      <c r="F8" s="15">
        <f t="shared" si="0"/>
        <v>6.9444444444444198E-4</v>
      </c>
      <c r="G8" s="14">
        <f t="shared" si="1"/>
        <v>0.99999999999999645</v>
      </c>
      <c r="H8" s="14">
        <f t="shared" si="2"/>
        <v>1096</v>
      </c>
      <c r="I8" s="14">
        <f t="shared" si="3"/>
        <v>9</v>
      </c>
      <c r="K8" s="5"/>
      <c r="L8" s="5"/>
      <c r="N8" s="5"/>
    </row>
    <row r="9" spans="1:15" x14ac:dyDescent="0.25">
      <c r="B9" s="14">
        <v>5</v>
      </c>
      <c r="C9" s="14" t="s">
        <v>9</v>
      </c>
      <c r="D9" s="15" t="s">
        <v>15</v>
      </c>
      <c r="E9" s="15" t="s">
        <v>49</v>
      </c>
      <c r="F9" s="15">
        <f t="shared" si="0"/>
        <v>4.1666666666666519E-3</v>
      </c>
      <c r="G9" s="14">
        <f t="shared" si="1"/>
        <v>5.9999999999999787</v>
      </c>
      <c r="H9" s="14">
        <f t="shared" si="2"/>
        <v>1097.9999999999998</v>
      </c>
      <c r="I9" s="14">
        <f t="shared" si="3"/>
        <v>1.9999999999997726</v>
      </c>
      <c r="K9" s="5"/>
      <c r="L9" s="5"/>
      <c r="N9" s="5"/>
    </row>
    <row r="10" spans="1:15" x14ac:dyDescent="0.25">
      <c r="B10" s="14">
        <v>6</v>
      </c>
      <c r="C10" s="14" t="s">
        <v>10</v>
      </c>
      <c r="D10" s="15" t="s">
        <v>49</v>
      </c>
      <c r="E10" s="15" t="s">
        <v>27</v>
      </c>
      <c r="F10" s="15">
        <f t="shared" si="0"/>
        <v>6.9444444444444198E-4</v>
      </c>
      <c r="G10" s="14">
        <f t="shared" si="1"/>
        <v>0.99999999999999645</v>
      </c>
      <c r="H10" s="14">
        <f t="shared" si="2"/>
        <v>1099</v>
      </c>
      <c r="I10" s="14">
        <f t="shared" si="3"/>
        <v>1.0000000000002274</v>
      </c>
      <c r="K10" s="5"/>
      <c r="L10" s="5"/>
      <c r="N10" s="5"/>
    </row>
    <row r="11" spans="1:15" x14ac:dyDescent="0.25">
      <c r="B11" s="14">
        <v>7</v>
      </c>
      <c r="C11" s="14" t="s">
        <v>24</v>
      </c>
      <c r="D11" s="15" t="s">
        <v>27</v>
      </c>
      <c r="E11" s="15" t="s">
        <v>50</v>
      </c>
      <c r="F11" s="15">
        <f t="shared" si="0"/>
        <v>6.9444444444444198E-4</v>
      </c>
      <c r="G11" s="14">
        <f t="shared" si="1"/>
        <v>0.99999999999999645</v>
      </c>
      <c r="H11" s="14">
        <f t="shared" si="2"/>
        <v>1100.9999999999998</v>
      </c>
      <c r="I11" s="14">
        <f t="shared" si="3"/>
        <v>1.9999999999997726</v>
      </c>
      <c r="K11" s="5"/>
      <c r="L11" s="5"/>
      <c r="N11" s="5"/>
    </row>
    <row r="12" spans="1:15" x14ac:dyDescent="0.25">
      <c r="B12" s="14">
        <v>8</v>
      </c>
      <c r="C12" s="14" t="s">
        <v>24</v>
      </c>
      <c r="D12" s="15" t="s">
        <v>50</v>
      </c>
      <c r="E12" s="15" t="s">
        <v>51</v>
      </c>
      <c r="F12" s="15">
        <f t="shared" si="0"/>
        <v>9.7222222222221877E-3</v>
      </c>
      <c r="G12" s="14">
        <f t="shared" si="1"/>
        <v>13.99999999999995</v>
      </c>
      <c r="H12" s="14">
        <f t="shared" si="2"/>
        <v>1100.9999999999998</v>
      </c>
      <c r="I12" s="14">
        <f t="shared" si="3"/>
        <v>0</v>
      </c>
      <c r="K12" s="5"/>
      <c r="L12" s="5"/>
      <c r="N12" s="5"/>
    </row>
    <row r="13" spans="1:15" x14ac:dyDescent="0.25">
      <c r="B13" s="14">
        <v>9</v>
      </c>
      <c r="C13" s="14" t="s">
        <v>13</v>
      </c>
      <c r="D13" s="15" t="s">
        <v>51</v>
      </c>
      <c r="E13" s="15" t="s">
        <v>52</v>
      </c>
      <c r="F13" s="15">
        <f t="shared" si="0"/>
        <v>2.7777777777777679E-3</v>
      </c>
      <c r="G13" s="14">
        <f t="shared" si="1"/>
        <v>3.9999999999999858</v>
      </c>
      <c r="H13" s="14">
        <f t="shared" si="2"/>
        <v>1104.0000000000002</v>
      </c>
      <c r="I13" s="14">
        <f t="shared" si="3"/>
        <v>3.0000000000004547</v>
      </c>
      <c r="K13" s="5"/>
      <c r="L13" s="5"/>
      <c r="N13" s="5"/>
      <c r="O13" s="5"/>
    </row>
    <row r="14" spans="1:15" x14ac:dyDescent="0.25">
      <c r="B14" s="14">
        <v>10</v>
      </c>
      <c r="C14" s="14" t="s">
        <v>15</v>
      </c>
      <c r="D14" s="15" t="s">
        <v>52</v>
      </c>
      <c r="E14" s="15" t="s">
        <v>53</v>
      </c>
      <c r="F14" s="15">
        <f t="shared" si="0"/>
        <v>3.4722222222222099E-3</v>
      </c>
      <c r="G14" s="14">
        <f t="shared" si="1"/>
        <v>4.9999999999999822</v>
      </c>
      <c r="H14" s="14">
        <f t="shared" si="2"/>
        <v>1107.0000000000002</v>
      </c>
      <c r="I14" s="14">
        <f t="shared" si="3"/>
        <v>3</v>
      </c>
      <c r="K14" s="5"/>
      <c r="L14" s="5"/>
      <c r="N14" s="5"/>
    </row>
    <row r="15" spans="1:15" x14ac:dyDescent="0.25">
      <c r="B15" s="14">
        <v>11</v>
      </c>
      <c r="C15" s="14" t="s">
        <v>54</v>
      </c>
      <c r="D15" s="15" t="s">
        <v>53</v>
      </c>
      <c r="E15" s="15" t="s">
        <v>35</v>
      </c>
      <c r="F15" s="15">
        <f t="shared" si="0"/>
        <v>6.9444444444444198E-4</v>
      </c>
      <c r="G15" s="14">
        <f t="shared" si="1"/>
        <v>0.99999999999999645</v>
      </c>
      <c r="H15" s="14">
        <f t="shared" si="2"/>
        <v>1109</v>
      </c>
      <c r="I15" s="14">
        <f t="shared" si="3"/>
        <v>1.9999999999997726</v>
      </c>
      <c r="K15" s="5"/>
      <c r="L15" s="5"/>
      <c r="N15" s="5"/>
    </row>
    <row r="16" spans="1:15" x14ac:dyDescent="0.25">
      <c r="B16" s="14">
        <v>12</v>
      </c>
      <c r="C16" s="14" t="s">
        <v>17</v>
      </c>
      <c r="D16" s="15" t="s">
        <v>35</v>
      </c>
      <c r="E16" s="15" t="s">
        <v>55</v>
      </c>
      <c r="F16" s="15">
        <f t="shared" si="0"/>
        <v>2.0833333333333259E-3</v>
      </c>
      <c r="G16" s="14">
        <f t="shared" si="1"/>
        <v>2.9999999999999893</v>
      </c>
      <c r="H16" s="14">
        <f t="shared" si="2"/>
        <v>1110</v>
      </c>
      <c r="I16" s="14">
        <f t="shared" si="3"/>
        <v>1</v>
      </c>
      <c r="K16" s="5"/>
      <c r="L16" s="5"/>
      <c r="N16" s="5"/>
    </row>
    <row r="17" spans="2:14" x14ac:dyDescent="0.25">
      <c r="B17" s="14">
        <v>13</v>
      </c>
      <c r="C17" s="14" t="s">
        <v>17</v>
      </c>
      <c r="D17" s="15" t="s">
        <v>55</v>
      </c>
      <c r="E17" s="15" t="s">
        <v>56</v>
      </c>
      <c r="F17" s="15">
        <f t="shared" si="0"/>
        <v>1.388888888888884E-3</v>
      </c>
      <c r="G17" s="14">
        <f t="shared" si="1"/>
        <v>1.9999999999999929</v>
      </c>
      <c r="H17" s="14">
        <f t="shared" si="2"/>
        <v>1110</v>
      </c>
      <c r="I17" s="14">
        <f t="shared" si="3"/>
        <v>0</v>
      </c>
      <c r="K17" s="5"/>
      <c r="L17" s="5"/>
      <c r="N17" s="5"/>
    </row>
    <row r="18" spans="2:14" x14ac:dyDescent="0.25">
      <c r="B18" s="14">
        <v>14</v>
      </c>
      <c r="C18" s="14" t="s">
        <v>27</v>
      </c>
      <c r="D18" s="15" t="s">
        <v>56</v>
      </c>
      <c r="E18" s="15" t="s">
        <v>36</v>
      </c>
      <c r="F18" s="15">
        <f t="shared" si="0"/>
        <v>6.9444444444444198E-4</v>
      </c>
      <c r="G18" s="14">
        <f t="shared" si="1"/>
        <v>0.99999999999999645</v>
      </c>
      <c r="H18" s="14">
        <f t="shared" si="2"/>
        <v>1114</v>
      </c>
      <c r="I18" s="14">
        <f t="shared" si="3"/>
        <v>4</v>
      </c>
      <c r="K18" s="5"/>
      <c r="L18" s="5"/>
      <c r="N18" s="5"/>
    </row>
    <row r="19" spans="2:14" x14ac:dyDescent="0.25">
      <c r="B19" s="14">
        <v>15</v>
      </c>
      <c r="C19" s="14" t="s">
        <v>19</v>
      </c>
      <c r="D19" s="15" t="s">
        <v>36</v>
      </c>
      <c r="E19" s="15" t="s">
        <v>37</v>
      </c>
      <c r="F19" s="15">
        <f t="shared" si="0"/>
        <v>1.388888888888884E-3</v>
      </c>
      <c r="G19" s="14">
        <f t="shared" si="1"/>
        <v>1.9999999999999929</v>
      </c>
      <c r="H19" s="14">
        <f t="shared" si="2"/>
        <v>1120</v>
      </c>
      <c r="I19" s="14">
        <f t="shared" si="3"/>
        <v>6</v>
      </c>
      <c r="K19" s="5"/>
      <c r="L19" s="5"/>
      <c r="N19" s="5"/>
    </row>
    <row r="20" spans="2:14" x14ac:dyDescent="0.25">
      <c r="B20" s="14">
        <v>16</v>
      </c>
      <c r="C20" s="14" t="s">
        <v>19</v>
      </c>
      <c r="D20" s="15" t="s">
        <v>37</v>
      </c>
      <c r="E20" s="15" t="s">
        <v>38</v>
      </c>
      <c r="F20" s="15">
        <f t="shared" si="0"/>
        <v>2.7777777777778789E-3</v>
      </c>
      <c r="G20" s="14">
        <f t="shared" si="1"/>
        <v>4.0000000000001457</v>
      </c>
      <c r="H20" s="14">
        <f t="shared" si="2"/>
        <v>1120</v>
      </c>
      <c r="I20" s="14">
        <f t="shared" si="3"/>
        <v>0</v>
      </c>
      <c r="K20" s="5"/>
      <c r="L20" s="5"/>
      <c r="N20" s="5"/>
    </row>
    <row r="21" spans="2:14" x14ac:dyDescent="0.25">
      <c r="B21" s="14">
        <v>17</v>
      </c>
      <c r="C21" s="14" t="s">
        <v>57</v>
      </c>
      <c r="D21" s="15" t="s">
        <v>38</v>
      </c>
      <c r="E21" s="15" t="s">
        <v>58</v>
      </c>
      <c r="F21" s="15">
        <f t="shared" si="0"/>
        <v>1.388888888888884E-3</v>
      </c>
      <c r="G21" s="14">
        <f t="shared" si="1"/>
        <v>1.9999999999999929</v>
      </c>
      <c r="H21" s="14">
        <f t="shared" si="2"/>
        <v>1122</v>
      </c>
      <c r="I21" s="14">
        <f t="shared" si="3"/>
        <v>2</v>
      </c>
      <c r="K21" s="5"/>
      <c r="L21" s="5"/>
      <c r="N21" s="5"/>
    </row>
    <row r="22" spans="2:14" x14ac:dyDescent="0.25">
      <c r="B22" s="14">
        <v>18</v>
      </c>
      <c r="C22" s="14" t="s">
        <v>57</v>
      </c>
      <c r="D22" s="15" t="s">
        <v>58</v>
      </c>
      <c r="E22" s="15" t="s">
        <v>59</v>
      </c>
      <c r="F22" s="15">
        <f t="shared" si="0"/>
        <v>6.9444444444444198E-4</v>
      </c>
      <c r="G22" s="14">
        <f t="shared" si="1"/>
        <v>0.99999999999999645</v>
      </c>
      <c r="H22" s="14">
        <f t="shared" si="2"/>
        <v>1122</v>
      </c>
      <c r="I22" s="14">
        <f t="shared" si="3"/>
        <v>0</v>
      </c>
      <c r="K22" s="5"/>
      <c r="L22" s="5"/>
      <c r="N22" s="5"/>
    </row>
    <row r="23" spans="2:14" x14ac:dyDescent="0.25">
      <c r="B23" s="14">
        <v>19</v>
      </c>
      <c r="C23" s="14" t="s">
        <v>21</v>
      </c>
      <c r="D23" s="15" t="s">
        <v>59</v>
      </c>
      <c r="E23" s="15" t="s">
        <v>39</v>
      </c>
      <c r="F23" s="15">
        <f t="shared" si="0"/>
        <v>2.7777777777777679E-3</v>
      </c>
      <c r="G23" s="14">
        <f t="shared" si="1"/>
        <v>3.9999999999999858</v>
      </c>
      <c r="H23" s="14">
        <f t="shared" si="2"/>
        <v>1123</v>
      </c>
      <c r="I23" s="14">
        <f t="shared" si="3"/>
        <v>1</v>
      </c>
      <c r="K23" s="5"/>
      <c r="L23" s="5"/>
      <c r="N23" s="5"/>
    </row>
    <row r="24" spans="2:14" x14ac:dyDescent="0.25">
      <c r="B24" s="14">
        <v>20</v>
      </c>
      <c r="C24" s="14" t="s">
        <v>31</v>
      </c>
      <c r="D24" s="15" t="s">
        <v>39</v>
      </c>
      <c r="E24" s="15" t="s">
        <v>60</v>
      </c>
      <c r="F24" s="15">
        <f t="shared" si="0"/>
        <v>2.0833333333333259E-3</v>
      </c>
      <c r="G24" s="14">
        <f t="shared" si="1"/>
        <v>2.9999999999999893</v>
      </c>
      <c r="H24" s="14">
        <f t="shared" si="2"/>
        <v>1126</v>
      </c>
      <c r="I24" s="14">
        <f t="shared" si="3"/>
        <v>3</v>
      </c>
      <c r="K24" s="5"/>
      <c r="L24" s="5"/>
      <c r="N24" s="5"/>
    </row>
    <row r="25" spans="2:14" x14ac:dyDescent="0.25">
      <c r="B25" s="14">
        <v>21</v>
      </c>
      <c r="C25" s="14" t="s">
        <v>31</v>
      </c>
      <c r="D25" s="15" t="s">
        <v>60</v>
      </c>
      <c r="E25" s="15" t="s">
        <v>41</v>
      </c>
      <c r="F25" s="15">
        <f t="shared" si="0"/>
        <v>3.4722222222222099E-3</v>
      </c>
      <c r="G25" s="14">
        <f t="shared" si="1"/>
        <v>4.9999999999999822</v>
      </c>
      <c r="H25" s="14">
        <f t="shared" si="2"/>
        <v>1126</v>
      </c>
      <c r="I25" s="14">
        <f t="shared" si="3"/>
        <v>0</v>
      </c>
      <c r="K25" s="5"/>
      <c r="L25" s="5"/>
      <c r="N25" s="5"/>
    </row>
    <row r="26" spans="2:14" x14ac:dyDescent="0.25">
      <c r="B26" s="14">
        <v>22</v>
      </c>
      <c r="C26" s="14" t="s">
        <v>51</v>
      </c>
      <c r="D26" s="15" t="s">
        <v>41</v>
      </c>
      <c r="E26" s="15" t="s">
        <v>61</v>
      </c>
      <c r="F26" s="15">
        <f t="shared" si="0"/>
        <v>1.388888888888884E-3</v>
      </c>
      <c r="G26" s="14">
        <f t="shared" si="1"/>
        <v>1.9999999999999929</v>
      </c>
      <c r="H26" s="14">
        <f t="shared" si="2"/>
        <v>1129</v>
      </c>
      <c r="I26" s="14">
        <f t="shared" si="3"/>
        <v>3</v>
      </c>
      <c r="K26" s="5"/>
      <c r="L26" s="5"/>
      <c r="N26" s="5"/>
    </row>
    <row r="27" spans="2:14" x14ac:dyDescent="0.25">
      <c r="B27" s="14">
        <v>23</v>
      </c>
      <c r="C27" s="14" t="s">
        <v>23</v>
      </c>
      <c r="D27" s="15" t="s">
        <v>61</v>
      </c>
      <c r="E27" s="15" t="s">
        <v>42</v>
      </c>
      <c r="F27" s="15">
        <f t="shared" si="0"/>
        <v>6.9444444444444198E-4</v>
      </c>
      <c r="G27" s="14">
        <f t="shared" si="1"/>
        <v>0.99999999999999645</v>
      </c>
      <c r="H27" s="14">
        <f t="shared" si="2"/>
        <v>1130</v>
      </c>
      <c r="I27" s="14">
        <f t="shared" si="3"/>
        <v>1</v>
      </c>
      <c r="K27" s="5"/>
      <c r="L27" s="5"/>
      <c r="N27" s="5"/>
    </row>
    <row r="28" spans="2:14" x14ac:dyDescent="0.25">
      <c r="B28" s="14">
        <v>24</v>
      </c>
      <c r="C28" s="14" t="s">
        <v>67</v>
      </c>
      <c r="D28" s="15" t="s">
        <v>67</v>
      </c>
      <c r="E28" s="15" t="s">
        <v>3</v>
      </c>
      <c r="F28" s="15">
        <f t="shared" si="0"/>
        <v>6.9444444444444198E-4</v>
      </c>
      <c r="G28" s="14">
        <f t="shared" si="1"/>
        <v>0.99999999999999645</v>
      </c>
      <c r="H28" s="14">
        <f t="shared" si="2"/>
        <v>1083</v>
      </c>
      <c r="I28" s="14"/>
      <c r="K28" s="5"/>
      <c r="L28" s="5"/>
      <c r="N28" s="5"/>
    </row>
    <row r="29" spans="2:14" x14ac:dyDescent="0.25">
      <c r="B29" s="14">
        <v>25</v>
      </c>
      <c r="C29" s="14" t="s">
        <v>47</v>
      </c>
      <c r="D29" s="15" t="s">
        <v>47</v>
      </c>
      <c r="E29" s="15" t="s">
        <v>6</v>
      </c>
      <c r="F29" s="15">
        <f t="shared" si="0"/>
        <v>2.0833333333333259E-3</v>
      </c>
      <c r="G29" s="14">
        <f t="shared" si="1"/>
        <v>2.9999999999999893</v>
      </c>
      <c r="H29" s="14">
        <f t="shared" si="2"/>
        <v>1086</v>
      </c>
      <c r="I29" s="14">
        <f t="shared" si="3"/>
        <v>3</v>
      </c>
      <c r="K29" s="5"/>
      <c r="L29" s="5"/>
      <c r="N29" s="5"/>
    </row>
    <row r="30" spans="2:14" x14ac:dyDescent="0.25">
      <c r="B30" s="14">
        <v>26</v>
      </c>
      <c r="C30" s="14" t="s">
        <v>7</v>
      </c>
      <c r="D30" s="15" t="s">
        <v>7</v>
      </c>
      <c r="E30" s="15" t="s">
        <v>68</v>
      </c>
      <c r="F30" s="15">
        <f t="shared" si="0"/>
        <v>2.0833333333333259E-3</v>
      </c>
      <c r="G30" s="14">
        <f t="shared" si="1"/>
        <v>2.9999999999999893</v>
      </c>
      <c r="H30" s="14">
        <f t="shared" si="2"/>
        <v>1089.9999999999998</v>
      </c>
      <c r="I30" s="14">
        <f t="shared" si="3"/>
        <v>3.9999999999997726</v>
      </c>
      <c r="K30" s="5"/>
      <c r="L30" s="5"/>
      <c r="N30" s="5"/>
    </row>
    <row r="31" spans="2:14" x14ac:dyDescent="0.25">
      <c r="B31" s="14">
        <v>27</v>
      </c>
      <c r="C31" s="14" t="s">
        <v>68</v>
      </c>
      <c r="D31" s="15" t="s">
        <v>68</v>
      </c>
      <c r="E31" s="15" t="s">
        <v>69</v>
      </c>
      <c r="F31" s="15">
        <f t="shared" si="0"/>
        <v>1.388888888888884E-3</v>
      </c>
      <c r="G31" s="14">
        <f t="shared" si="1"/>
        <v>1.9999999999999929</v>
      </c>
      <c r="H31" s="14">
        <f t="shared" si="2"/>
        <v>1093</v>
      </c>
      <c r="I31" s="14">
        <f t="shared" si="3"/>
        <v>3.0000000000002274</v>
      </c>
      <c r="K31" s="5"/>
      <c r="L31" s="5"/>
      <c r="N31" s="5"/>
    </row>
    <row r="32" spans="2:14" x14ac:dyDescent="0.25">
      <c r="B32" s="14">
        <v>28</v>
      </c>
      <c r="C32" s="14" t="s">
        <v>69</v>
      </c>
      <c r="D32" s="15" t="s">
        <v>69</v>
      </c>
      <c r="E32" s="15" t="s">
        <v>10</v>
      </c>
      <c r="F32" s="15">
        <f t="shared" si="0"/>
        <v>2.7777777777777679E-3</v>
      </c>
      <c r="G32" s="14">
        <f t="shared" si="1"/>
        <v>3.9999999999999858</v>
      </c>
      <c r="H32" s="14">
        <f t="shared" si="2"/>
        <v>1095</v>
      </c>
      <c r="I32" s="14">
        <f t="shared" si="3"/>
        <v>2</v>
      </c>
      <c r="K32" s="5"/>
      <c r="L32" s="5"/>
      <c r="N32" s="5"/>
    </row>
    <row r="33" spans="2:14" x14ac:dyDescent="0.25">
      <c r="B33" s="14">
        <v>29</v>
      </c>
      <c r="C33" s="14" t="s">
        <v>70</v>
      </c>
      <c r="D33" s="15" t="s">
        <v>10</v>
      </c>
      <c r="E33" s="15" t="s">
        <v>25</v>
      </c>
      <c r="F33" s="15">
        <f t="shared" si="0"/>
        <v>2.0833333333333259E-3</v>
      </c>
      <c r="G33" s="14">
        <f t="shared" si="1"/>
        <v>2.9999999999999893</v>
      </c>
      <c r="H33" s="14">
        <f t="shared" si="2"/>
        <v>1097</v>
      </c>
      <c r="I33" s="14">
        <f t="shared" si="3"/>
        <v>2</v>
      </c>
      <c r="K33" s="5"/>
      <c r="L33" s="5"/>
      <c r="N33" s="5"/>
    </row>
    <row r="34" spans="2:14" x14ac:dyDescent="0.25">
      <c r="B34" s="14">
        <v>30</v>
      </c>
      <c r="C34" s="14" t="s">
        <v>9</v>
      </c>
      <c r="D34" s="15" t="s">
        <v>25</v>
      </c>
      <c r="E34" s="15" t="s">
        <v>14</v>
      </c>
      <c r="F34" s="15">
        <f t="shared" si="0"/>
        <v>2.7777777777778789E-3</v>
      </c>
      <c r="G34" s="14">
        <f t="shared" si="1"/>
        <v>4.0000000000001457</v>
      </c>
      <c r="H34" s="14">
        <f t="shared" si="2"/>
        <v>1097.9999999999998</v>
      </c>
      <c r="I34" s="14">
        <f t="shared" si="3"/>
        <v>0.99999999999977263</v>
      </c>
      <c r="K34" s="5"/>
      <c r="L34" s="5"/>
      <c r="N34" s="5"/>
    </row>
    <row r="35" spans="2:14" x14ac:dyDescent="0.25">
      <c r="B35" s="14">
        <v>31</v>
      </c>
      <c r="C35" s="14" t="s">
        <v>10</v>
      </c>
      <c r="D35" s="15" t="s">
        <v>14</v>
      </c>
      <c r="E35" s="15" t="s">
        <v>54</v>
      </c>
      <c r="F35" s="15">
        <f t="shared" si="0"/>
        <v>2.0833333333333259E-3</v>
      </c>
      <c r="G35" s="14">
        <f t="shared" si="1"/>
        <v>2.9999999999999893</v>
      </c>
      <c r="H35" s="14">
        <f t="shared" si="2"/>
        <v>1099</v>
      </c>
      <c r="I35" s="14">
        <f t="shared" si="3"/>
        <v>1.0000000000002274</v>
      </c>
      <c r="K35" s="5"/>
      <c r="L35" s="5"/>
      <c r="N35" s="5"/>
    </row>
    <row r="36" spans="2:14" x14ac:dyDescent="0.25">
      <c r="B36" s="14">
        <v>32</v>
      </c>
      <c r="C36" s="14" t="s">
        <v>24</v>
      </c>
      <c r="D36" s="15" t="s">
        <v>54</v>
      </c>
      <c r="E36" s="15" t="s">
        <v>50</v>
      </c>
      <c r="F36" s="15">
        <f t="shared" si="0"/>
        <v>4.1666666666666519E-3</v>
      </c>
      <c r="G36" s="14">
        <f t="shared" si="1"/>
        <v>5.9999999999999787</v>
      </c>
      <c r="H36" s="14">
        <f t="shared" si="2"/>
        <v>1100.9999999999998</v>
      </c>
      <c r="I36" s="14">
        <f t="shared" si="3"/>
        <v>1.9999999999997726</v>
      </c>
      <c r="K36" s="5"/>
      <c r="L36" s="5"/>
      <c r="N36" s="5"/>
    </row>
    <row r="37" spans="2:14" x14ac:dyDescent="0.25">
      <c r="B37" s="14">
        <v>33</v>
      </c>
      <c r="C37" s="14" t="s">
        <v>13</v>
      </c>
      <c r="D37" s="15" t="s">
        <v>50</v>
      </c>
      <c r="E37" s="15" t="s">
        <v>72</v>
      </c>
      <c r="F37" s="15">
        <f t="shared" si="0"/>
        <v>6.9444444444444198E-4</v>
      </c>
      <c r="G37" s="14">
        <f t="shared" si="1"/>
        <v>0.99999999999999645</v>
      </c>
      <c r="H37" s="14">
        <f t="shared" si="2"/>
        <v>1104.0000000000002</v>
      </c>
      <c r="I37" s="14">
        <f t="shared" si="3"/>
        <v>3.0000000000004547</v>
      </c>
      <c r="K37" s="5"/>
      <c r="L37" s="5"/>
      <c r="N37" s="5"/>
    </row>
    <row r="38" spans="2:14" x14ac:dyDescent="0.25">
      <c r="B38" s="14">
        <v>34</v>
      </c>
      <c r="C38" s="14" t="s">
        <v>71</v>
      </c>
      <c r="D38" s="15" t="s">
        <v>72</v>
      </c>
      <c r="E38" s="15" t="s">
        <v>73</v>
      </c>
      <c r="F38" s="15">
        <f t="shared" si="0"/>
        <v>6.9444444444444198E-4</v>
      </c>
      <c r="G38" s="14">
        <f t="shared" si="1"/>
        <v>0.99999999999999645</v>
      </c>
      <c r="H38" s="14">
        <f t="shared" si="2"/>
        <v>1105</v>
      </c>
      <c r="I38" s="14">
        <f t="shared" si="3"/>
        <v>0.99999999999977263</v>
      </c>
      <c r="K38" s="5"/>
      <c r="L38" s="5"/>
      <c r="N38" s="5"/>
    </row>
    <row r="39" spans="2:14" x14ac:dyDescent="0.25">
      <c r="B39" s="14">
        <v>35</v>
      </c>
      <c r="C39" s="14" t="s">
        <v>71</v>
      </c>
      <c r="D39" s="15" t="s">
        <v>73</v>
      </c>
      <c r="E39" s="15" t="s">
        <v>19</v>
      </c>
      <c r="F39" s="15">
        <f t="shared" si="0"/>
        <v>2.0833333333333259E-3</v>
      </c>
      <c r="G39" s="14">
        <f t="shared" si="1"/>
        <v>2.9999999999999893</v>
      </c>
      <c r="H39" s="14">
        <f t="shared" si="2"/>
        <v>1105</v>
      </c>
      <c r="I39" s="14">
        <f t="shared" si="3"/>
        <v>0</v>
      </c>
      <c r="K39" s="5"/>
      <c r="L39" s="5"/>
      <c r="N39" s="5"/>
    </row>
    <row r="40" spans="2:14" x14ac:dyDescent="0.25">
      <c r="B40" s="14">
        <v>36</v>
      </c>
      <c r="C40" s="14" t="s">
        <v>14</v>
      </c>
      <c r="D40" s="15" t="s">
        <v>19</v>
      </c>
      <c r="E40" s="15" t="s">
        <v>21</v>
      </c>
      <c r="F40" s="15">
        <f t="shared" si="0"/>
        <v>2.0833333333333259E-3</v>
      </c>
      <c r="G40" s="14">
        <f t="shared" si="1"/>
        <v>2.9999999999999893</v>
      </c>
      <c r="H40" s="14">
        <f t="shared" si="2"/>
        <v>1106</v>
      </c>
      <c r="I40" s="14">
        <f t="shared" si="3"/>
        <v>1</v>
      </c>
      <c r="K40" s="5"/>
      <c r="L40" s="5"/>
      <c r="N40" s="5"/>
    </row>
    <row r="41" spans="2:14" x14ac:dyDescent="0.25">
      <c r="B41" s="14">
        <v>37</v>
      </c>
      <c r="C41" s="14" t="s">
        <v>14</v>
      </c>
      <c r="D41" s="15" t="s">
        <v>21</v>
      </c>
      <c r="E41" s="15" t="s">
        <v>74</v>
      </c>
      <c r="F41" s="15">
        <f t="shared" si="0"/>
        <v>2.7777777777777679E-3</v>
      </c>
      <c r="G41" s="14">
        <f t="shared" si="1"/>
        <v>3.9999999999999858</v>
      </c>
      <c r="H41" s="14">
        <f t="shared" si="2"/>
        <v>1106</v>
      </c>
      <c r="I41" s="14">
        <f t="shared" si="3"/>
        <v>0</v>
      </c>
      <c r="K41" s="5"/>
      <c r="L41" s="5"/>
      <c r="N41" s="5"/>
    </row>
    <row r="42" spans="2:14" x14ac:dyDescent="0.25">
      <c r="B42" s="14">
        <v>38</v>
      </c>
      <c r="C42" s="14" t="s">
        <v>54</v>
      </c>
      <c r="D42" s="15" t="s">
        <v>74</v>
      </c>
      <c r="E42" s="15" t="s">
        <v>23</v>
      </c>
      <c r="F42" s="15">
        <f t="shared" si="0"/>
        <v>2.0833333333333259E-3</v>
      </c>
      <c r="G42" s="14">
        <f t="shared" si="1"/>
        <v>2.9999999999999893</v>
      </c>
      <c r="H42" s="14">
        <f t="shared" si="2"/>
        <v>1109</v>
      </c>
      <c r="I42" s="14">
        <f t="shared" si="3"/>
        <v>3</v>
      </c>
      <c r="K42" s="5"/>
      <c r="L42" s="5"/>
      <c r="N42" s="5"/>
    </row>
    <row r="43" spans="2:14" x14ac:dyDescent="0.25">
      <c r="B43" s="14">
        <v>39</v>
      </c>
      <c r="C43" s="14" t="s">
        <v>26</v>
      </c>
      <c r="D43" s="15" t="s">
        <v>23</v>
      </c>
      <c r="E43" s="15" t="s">
        <v>75</v>
      </c>
      <c r="F43" s="15">
        <f t="shared" si="0"/>
        <v>6.9444444444444198E-4</v>
      </c>
      <c r="G43" s="14">
        <f t="shared" si="1"/>
        <v>0.99999999999999645</v>
      </c>
      <c r="H43" s="14">
        <f t="shared" si="2"/>
        <v>1111</v>
      </c>
      <c r="I43" s="14">
        <f t="shared" si="3"/>
        <v>2</v>
      </c>
      <c r="K43" s="5"/>
      <c r="L43" s="5"/>
      <c r="N43" s="5"/>
    </row>
    <row r="44" spans="2:14" x14ac:dyDescent="0.25">
      <c r="B44" s="14">
        <v>40</v>
      </c>
      <c r="C44" s="14" t="s">
        <v>26</v>
      </c>
      <c r="D44" s="15" t="s">
        <v>75</v>
      </c>
      <c r="E44" s="15" t="s">
        <v>52</v>
      </c>
      <c r="F44" s="15">
        <f t="shared" si="0"/>
        <v>1.388888888888884E-3</v>
      </c>
      <c r="G44" s="14">
        <f t="shared" si="1"/>
        <v>1.9999999999999929</v>
      </c>
      <c r="H44" s="14">
        <f t="shared" si="2"/>
        <v>1111</v>
      </c>
      <c r="I44" s="14">
        <f t="shared" si="3"/>
        <v>0</v>
      </c>
      <c r="K44" s="5"/>
      <c r="L44" s="5"/>
      <c r="N44" s="5"/>
    </row>
    <row r="45" spans="2:14" x14ac:dyDescent="0.25">
      <c r="B45" s="14">
        <v>41</v>
      </c>
      <c r="C45" s="14" t="s">
        <v>49</v>
      </c>
      <c r="D45" s="15" t="s">
        <v>52</v>
      </c>
      <c r="E45" s="15" t="s">
        <v>34</v>
      </c>
      <c r="F45" s="15">
        <f t="shared" si="0"/>
        <v>2.7777777777777679E-3</v>
      </c>
      <c r="G45" s="14">
        <f t="shared" si="1"/>
        <v>3.9999999999999858</v>
      </c>
      <c r="H45" s="14">
        <f t="shared" si="2"/>
        <v>1113</v>
      </c>
      <c r="I45" s="14">
        <f t="shared" si="3"/>
        <v>2</v>
      </c>
      <c r="K45" s="5"/>
      <c r="L45" s="5"/>
      <c r="N45" s="5"/>
    </row>
    <row r="46" spans="2:14" x14ac:dyDescent="0.25">
      <c r="B46" s="14">
        <v>42</v>
      </c>
      <c r="C46" s="14" t="s">
        <v>72</v>
      </c>
      <c r="D46" s="15" t="s">
        <v>34</v>
      </c>
      <c r="E46" s="15" t="s">
        <v>35</v>
      </c>
      <c r="F46" s="15">
        <f t="shared" si="0"/>
        <v>1.388888888888884E-3</v>
      </c>
      <c r="G46" s="14">
        <f t="shared" si="1"/>
        <v>1.9999999999999929</v>
      </c>
      <c r="H46" s="14">
        <f t="shared" si="2"/>
        <v>1116</v>
      </c>
      <c r="I46" s="14">
        <f t="shared" si="3"/>
        <v>3</v>
      </c>
      <c r="K46" s="5"/>
      <c r="L46" s="5"/>
      <c r="N46" s="5"/>
    </row>
    <row r="47" spans="2:14" x14ac:dyDescent="0.25">
      <c r="B47" s="14">
        <v>43</v>
      </c>
      <c r="C47" s="14" t="s">
        <v>73</v>
      </c>
      <c r="D47" s="15" t="s">
        <v>35</v>
      </c>
      <c r="E47" s="15" t="s">
        <v>36</v>
      </c>
      <c r="F47" s="15">
        <f t="shared" si="0"/>
        <v>4.1666666666666519E-3</v>
      </c>
      <c r="G47" s="14">
        <f t="shared" si="1"/>
        <v>5.9999999999999787</v>
      </c>
      <c r="H47" s="14">
        <f t="shared" si="2"/>
        <v>1117</v>
      </c>
      <c r="I47" s="14">
        <f t="shared" si="3"/>
        <v>1</v>
      </c>
      <c r="K47" s="5"/>
      <c r="L47" s="5"/>
      <c r="N47" s="5"/>
    </row>
    <row r="48" spans="2:14" x14ac:dyDescent="0.25">
      <c r="B48" s="14">
        <v>44</v>
      </c>
      <c r="C48" s="14" t="s">
        <v>18</v>
      </c>
      <c r="D48" s="15" t="s">
        <v>36</v>
      </c>
      <c r="E48" s="15" t="s">
        <v>37</v>
      </c>
      <c r="F48" s="15">
        <f t="shared" si="0"/>
        <v>1.388888888888884E-3</v>
      </c>
      <c r="G48" s="14">
        <f t="shared" si="1"/>
        <v>1.9999999999999929</v>
      </c>
      <c r="H48" s="14">
        <f t="shared" si="2"/>
        <v>1118</v>
      </c>
      <c r="I48" s="14">
        <f t="shared" si="3"/>
        <v>1</v>
      </c>
      <c r="K48" s="5"/>
      <c r="L48" s="5"/>
      <c r="N48" s="5"/>
    </row>
    <row r="49" spans="2:14" x14ac:dyDescent="0.25">
      <c r="B49" s="14">
        <v>45</v>
      </c>
      <c r="C49" s="14" t="s">
        <v>21</v>
      </c>
      <c r="D49" s="15" t="s">
        <v>37</v>
      </c>
      <c r="E49" s="15" t="s">
        <v>76</v>
      </c>
      <c r="F49" s="15">
        <f t="shared" si="0"/>
        <v>1.388888888888995E-3</v>
      </c>
      <c r="G49" s="14">
        <f t="shared" si="1"/>
        <v>2.0000000000001528</v>
      </c>
      <c r="H49" s="14">
        <f t="shared" si="2"/>
        <v>1123</v>
      </c>
      <c r="I49" s="14">
        <f t="shared" si="3"/>
        <v>5</v>
      </c>
      <c r="K49" s="5"/>
      <c r="L49" s="5"/>
      <c r="N49" s="5"/>
    </row>
    <row r="50" spans="2:14" x14ac:dyDescent="0.25">
      <c r="B50" s="14">
        <v>46</v>
      </c>
      <c r="C50" s="14" t="s">
        <v>21</v>
      </c>
      <c r="D50" s="15" t="s">
        <v>76</v>
      </c>
      <c r="E50" s="15" t="s">
        <v>41</v>
      </c>
      <c r="F50" s="15">
        <f t="shared" si="0"/>
        <v>1.1805555555555514E-2</v>
      </c>
      <c r="G50" s="14">
        <f t="shared" si="1"/>
        <v>16.99999999999994</v>
      </c>
      <c r="H50" s="14">
        <f t="shared" si="2"/>
        <v>1123</v>
      </c>
      <c r="I50" s="14">
        <f t="shared" si="3"/>
        <v>0</v>
      </c>
      <c r="K50" s="5"/>
      <c r="L50" s="5"/>
      <c r="N50" s="5"/>
    </row>
    <row r="51" spans="2:14" x14ac:dyDescent="0.25">
      <c r="B51" s="14">
        <v>47</v>
      </c>
      <c r="C51" s="14" t="s">
        <v>52</v>
      </c>
      <c r="D51" s="15" t="s">
        <v>41</v>
      </c>
      <c r="E51" s="15" t="s">
        <v>77</v>
      </c>
      <c r="F51" s="15">
        <f t="shared" si="0"/>
        <v>6.9444444444444198E-4</v>
      </c>
      <c r="G51" s="14">
        <f t="shared" si="1"/>
        <v>0.99999999999999645</v>
      </c>
      <c r="H51" s="14">
        <f t="shared" si="2"/>
        <v>1133</v>
      </c>
      <c r="I51" s="14">
        <f t="shared" si="3"/>
        <v>10</v>
      </c>
      <c r="K51" s="5"/>
      <c r="L51" s="5"/>
      <c r="N51" s="5"/>
    </row>
    <row r="52" spans="2:14" x14ac:dyDescent="0.25">
      <c r="B52" s="14">
        <v>48</v>
      </c>
      <c r="C52" s="14" t="s">
        <v>53</v>
      </c>
      <c r="D52" s="15" t="s">
        <v>77</v>
      </c>
      <c r="E52" s="15" t="s">
        <v>61</v>
      </c>
      <c r="F52" s="15">
        <f t="shared" si="0"/>
        <v>6.9444444444444198E-4</v>
      </c>
      <c r="G52" s="14">
        <f t="shared" si="1"/>
        <v>0.99999999999999645</v>
      </c>
      <c r="H52" s="14">
        <f t="shared" si="2"/>
        <v>1138</v>
      </c>
      <c r="I52" s="14">
        <f t="shared" si="3"/>
        <v>5</v>
      </c>
      <c r="K52" s="5"/>
      <c r="L52" s="5"/>
      <c r="N52" s="5"/>
    </row>
    <row r="53" spans="2:14" x14ac:dyDescent="0.25">
      <c r="B53" s="14">
        <v>49</v>
      </c>
      <c r="C53" s="14" t="s">
        <v>35</v>
      </c>
      <c r="D53" s="15" t="s">
        <v>61</v>
      </c>
      <c r="E53" s="15" t="s">
        <v>43</v>
      </c>
      <c r="F53" s="15">
        <f t="shared" si="0"/>
        <v>1.388888888888884E-3</v>
      </c>
      <c r="G53" s="14">
        <f t="shared" si="1"/>
        <v>1.9999999999999929</v>
      </c>
      <c r="H53" s="14">
        <f t="shared" si="2"/>
        <v>1139</v>
      </c>
      <c r="I53" s="14">
        <f t="shared" si="3"/>
        <v>1</v>
      </c>
      <c r="K53" s="5"/>
      <c r="L53" s="5"/>
      <c r="N53" s="5"/>
    </row>
    <row r="54" spans="2:14" x14ac:dyDescent="0.25">
      <c r="B54" s="14">
        <v>50</v>
      </c>
      <c r="C54" s="14" t="s">
        <v>45</v>
      </c>
      <c r="D54" s="15" t="s">
        <v>45</v>
      </c>
      <c r="E54" s="15" t="s">
        <v>67</v>
      </c>
      <c r="F54" s="15">
        <f t="shared" si="0"/>
        <v>2.0833333333333259E-3</v>
      </c>
      <c r="G54" s="14">
        <f t="shared" si="1"/>
        <v>2.9999999999999893</v>
      </c>
      <c r="H54" s="14">
        <f t="shared" si="2"/>
        <v>1080</v>
      </c>
      <c r="I54" s="14"/>
      <c r="K54" s="5"/>
      <c r="L54" s="5"/>
      <c r="N54" s="5"/>
    </row>
    <row r="55" spans="2:14" x14ac:dyDescent="0.25">
      <c r="B55" s="14">
        <v>51</v>
      </c>
      <c r="C55" s="14" t="s">
        <v>85</v>
      </c>
      <c r="D55" s="15" t="s">
        <v>67</v>
      </c>
      <c r="E55" s="15" t="s">
        <v>3</v>
      </c>
      <c r="F55" s="15">
        <f t="shared" si="0"/>
        <v>6.9444444444444198E-4</v>
      </c>
      <c r="G55" s="14">
        <f t="shared" si="1"/>
        <v>0.99999999999999645</v>
      </c>
      <c r="H55" s="14">
        <f t="shared" si="2"/>
        <v>1082</v>
      </c>
      <c r="I55" s="14">
        <f t="shared" si="3"/>
        <v>2</v>
      </c>
      <c r="K55" s="5"/>
      <c r="L55" s="5"/>
      <c r="N55" s="5"/>
    </row>
    <row r="56" spans="2:14" x14ac:dyDescent="0.25">
      <c r="B56" s="14">
        <v>52</v>
      </c>
      <c r="C56" s="14" t="s">
        <v>4</v>
      </c>
      <c r="D56" s="15" t="s">
        <v>4</v>
      </c>
      <c r="E56" s="15" t="s">
        <v>5</v>
      </c>
      <c r="F56" s="15">
        <f t="shared" si="0"/>
        <v>1.388888888888884E-3</v>
      </c>
      <c r="G56" s="14">
        <f t="shared" si="1"/>
        <v>1.9999999999999929</v>
      </c>
      <c r="H56" s="14">
        <f t="shared" si="2"/>
        <v>1085</v>
      </c>
      <c r="I56" s="14">
        <f t="shared" si="3"/>
        <v>3</v>
      </c>
      <c r="K56" s="5"/>
      <c r="L56" s="5"/>
      <c r="N56" s="5"/>
    </row>
    <row r="57" spans="2:14" x14ac:dyDescent="0.25">
      <c r="B57" s="14">
        <v>53</v>
      </c>
      <c r="C57" s="14" t="s">
        <v>5</v>
      </c>
      <c r="D57" s="15" t="s">
        <v>5</v>
      </c>
      <c r="E57" s="15" t="s">
        <v>6</v>
      </c>
      <c r="F57" s="15">
        <f t="shared" si="0"/>
        <v>1.388888888888884E-3</v>
      </c>
      <c r="G57" s="14">
        <f t="shared" si="1"/>
        <v>1.9999999999999929</v>
      </c>
      <c r="H57" s="14">
        <f t="shared" si="2"/>
        <v>1087</v>
      </c>
      <c r="I57" s="14">
        <f t="shared" si="3"/>
        <v>2</v>
      </c>
      <c r="K57" s="5"/>
      <c r="L57" s="5"/>
      <c r="N57" s="5"/>
    </row>
    <row r="58" spans="2:14" x14ac:dyDescent="0.25">
      <c r="B58" s="14">
        <v>54</v>
      </c>
      <c r="C58" s="14" t="s">
        <v>86</v>
      </c>
      <c r="D58" s="15" t="s">
        <v>6</v>
      </c>
      <c r="E58" s="15" t="s">
        <v>87</v>
      </c>
      <c r="F58" s="15">
        <f t="shared" si="0"/>
        <v>3.4722222222222099E-3</v>
      </c>
      <c r="G58" s="14">
        <f t="shared" si="1"/>
        <v>4.9999999999999822</v>
      </c>
      <c r="H58" s="14">
        <f t="shared" si="2"/>
        <v>1088</v>
      </c>
      <c r="I58" s="14">
        <f t="shared" si="3"/>
        <v>1</v>
      </c>
      <c r="K58" s="5"/>
      <c r="L58" s="5"/>
      <c r="N58" s="5"/>
    </row>
    <row r="59" spans="2:14" x14ac:dyDescent="0.25">
      <c r="B59" s="14">
        <v>55</v>
      </c>
      <c r="C59" s="14" t="s">
        <v>6</v>
      </c>
      <c r="D59" s="15" t="s">
        <v>87</v>
      </c>
      <c r="E59" s="15" t="s">
        <v>14</v>
      </c>
      <c r="F59" s="15">
        <f t="shared" si="0"/>
        <v>8.3333333333334147E-3</v>
      </c>
      <c r="G59" s="14">
        <f t="shared" si="1"/>
        <v>12.000000000000117</v>
      </c>
      <c r="H59" s="14">
        <f t="shared" si="2"/>
        <v>1089</v>
      </c>
      <c r="I59" s="14">
        <f t="shared" si="3"/>
        <v>1</v>
      </c>
      <c r="K59" s="5"/>
      <c r="L59" s="5"/>
      <c r="N59" s="5"/>
    </row>
    <row r="60" spans="2:14" x14ac:dyDescent="0.25">
      <c r="B60" s="14">
        <v>56</v>
      </c>
      <c r="C60" s="14" t="s">
        <v>7</v>
      </c>
      <c r="D60" s="15" t="s">
        <v>14</v>
      </c>
      <c r="E60" s="15" t="s">
        <v>26</v>
      </c>
      <c r="F60" s="15">
        <f t="shared" si="0"/>
        <v>3.4722222222222099E-3</v>
      </c>
      <c r="G60" s="14">
        <f t="shared" si="1"/>
        <v>4.9999999999999822</v>
      </c>
      <c r="H60" s="14">
        <f t="shared" si="2"/>
        <v>1089.9999999999998</v>
      </c>
      <c r="I60" s="14">
        <f t="shared" si="3"/>
        <v>0.99999999999977263</v>
      </c>
      <c r="K60" s="5"/>
      <c r="L60" s="5"/>
      <c r="N60" s="5"/>
    </row>
    <row r="61" spans="2:14" x14ac:dyDescent="0.25">
      <c r="B61" s="14">
        <v>57</v>
      </c>
      <c r="C61" s="14" t="s">
        <v>8</v>
      </c>
      <c r="D61" s="15" t="s">
        <v>26</v>
      </c>
      <c r="E61" s="15" t="s">
        <v>18</v>
      </c>
      <c r="F61" s="15">
        <f t="shared" si="0"/>
        <v>4.8611111111110938E-3</v>
      </c>
      <c r="G61" s="14">
        <f t="shared" si="1"/>
        <v>6.9999999999999751</v>
      </c>
      <c r="H61" s="14">
        <f t="shared" si="2"/>
        <v>1092</v>
      </c>
      <c r="I61" s="14">
        <f t="shared" si="3"/>
        <v>2.0000000000002274</v>
      </c>
      <c r="K61" s="5"/>
      <c r="L61" s="5"/>
      <c r="N61" s="5"/>
    </row>
    <row r="62" spans="2:14" x14ac:dyDescent="0.25">
      <c r="B62" s="14">
        <v>58</v>
      </c>
      <c r="C62" s="14" t="s">
        <v>87</v>
      </c>
      <c r="D62" s="15" t="s">
        <v>18</v>
      </c>
      <c r="E62" s="15" t="s">
        <v>30</v>
      </c>
      <c r="F62" s="15">
        <f t="shared" si="0"/>
        <v>4.8611111111110938E-3</v>
      </c>
      <c r="G62" s="14">
        <f t="shared" si="1"/>
        <v>6.9999999999999751</v>
      </c>
      <c r="H62" s="14">
        <f t="shared" si="2"/>
        <v>1094</v>
      </c>
      <c r="I62" s="14">
        <f t="shared" si="3"/>
        <v>2</v>
      </c>
      <c r="K62" s="5"/>
      <c r="L62" s="5"/>
      <c r="N62" s="5"/>
    </row>
    <row r="63" spans="2:14" x14ac:dyDescent="0.25">
      <c r="B63" s="14">
        <v>59</v>
      </c>
      <c r="C63" s="14" t="s">
        <v>24</v>
      </c>
      <c r="D63" s="15" t="s">
        <v>30</v>
      </c>
      <c r="E63" s="15" t="s">
        <v>31</v>
      </c>
      <c r="F63" s="15">
        <f t="shared" si="0"/>
        <v>6.9444444444444198E-4</v>
      </c>
      <c r="G63" s="14">
        <f t="shared" si="1"/>
        <v>0.99999999999999645</v>
      </c>
      <c r="H63" s="14">
        <f t="shared" si="2"/>
        <v>1100.9999999999998</v>
      </c>
      <c r="I63" s="14">
        <f t="shared" si="3"/>
        <v>6.9999999999997726</v>
      </c>
      <c r="K63" s="5"/>
      <c r="L63" s="5"/>
      <c r="N63" s="5"/>
    </row>
    <row r="64" spans="2:14" x14ac:dyDescent="0.25">
      <c r="B64" s="14">
        <v>60</v>
      </c>
      <c r="C64" s="14" t="s">
        <v>25</v>
      </c>
      <c r="D64" s="15" t="s">
        <v>31</v>
      </c>
      <c r="E64" s="15" t="s">
        <v>52</v>
      </c>
      <c r="F64" s="15">
        <f t="shared" si="0"/>
        <v>4.8611111111110938E-3</v>
      </c>
      <c r="G64" s="14">
        <f t="shared" si="1"/>
        <v>6.9999999999999751</v>
      </c>
      <c r="H64" s="14">
        <f t="shared" si="2"/>
        <v>1102</v>
      </c>
      <c r="I64" s="14">
        <f t="shared" si="3"/>
        <v>1.0000000000002274</v>
      </c>
      <c r="K64" s="5"/>
      <c r="L64" s="5"/>
      <c r="N64" s="5"/>
    </row>
    <row r="65" spans="2:14" x14ac:dyDescent="0.25">
      <c r="B65" s="14">
        <v>61</v>
      </c>
      <c r="C65" s="14" t="s">
        <v>12</v>
      </c>
      <c r="D65" s="15" t="s">
        <v>52</v>
      </c>
      <c r="E65" s="15" t="s">
        <v>34</v>
      </c>
      <c r="F65" s="15">
        <f t="shared" si="0"/>
        <v>2.7777777777777679E-3</v>
      </c>
      <c r="G65" s="14">
        <f t="shared" si="1"/>
        <v>3.9999999999999858</v>
      </c>
      <c r="H65" s="14">
        <f t="shared" si="2"/>
        <v>1103</v>
      </c>
      <c r="I65" s="14">
        <f t="shared" si="3"/>
        <v>1</v>
      </c>
      <c r="K65" s="5"/>
      <c r="L65" s="5"/>
      <c r="N65" s="5"/>
    </row>
    <row r="66" spans="2:14" x14ac:dyDescent="0.25">
      <c r="B66" s="14">
        <v>62</v>
      </c>
      <c r="C66" s="14" t="s">
        <v>14</v>
      </c>
      <c r="D66" s="15" t="s">
        <v>34</v>
      </c>
      <c r="E66" s="15" t="s">
        <v>53</v>
      </c>
      <c r="F66" s="15">
        <f t="shared" si="0"/>
        <v>6.9444444444444198E-4</v>
      </c>
      <c r="G66" s="14">
        <f t="shared" si="1"/>
        <v>0.99999999999999645</v>
      </c>
      <c r="H66" s="14">
        <f t="shared" si="2"/>
        <v>1106</v>
      </c>
      <c r="I66" s="14">
        <f t="shared" si="3"/>
        <v>3</v>
      </c>
      <c r="K66" s="5"/>
      <c r="L66" s="5"/>
      <c r="N66" s="5"/>
    </row>
    <row r="67" spans="2:14" x14ac:dyDescent="0.25">
      <c r="B67" s="14">
        <v>63</v>
      </c>
      <c r="C67" s="14" t="s">
        <v>14</v>
      </c>
      <c r="D67" s="15" t="s">
        <v>53</v>
      </c>
      <c r="E67" s="15" t="s">
        <v>55</v>
      </c>
      <c r="F67" s="15">
        <f t="shared" si="0"/>
        <v>2.7777777777777679E-3</v>
      </c>
      <c r="G67" s="14">
        <f t="shared" si="1"/>
        <v>3.9999999999999858</v>
      </c>
      <c r="H67" s="14">
        <f t="shared" si="2"/>
        <v>1106</v>
      </c>
      <c r="I67" s="14">
        <f t="shared" si="3"/>
        <v>0</v>
      </c>
      <c r="K67" s="5"/>
      <c r="L67" s="5"/>
      <c r="N67" s="5"/>
    </row>
    <row r="68" spans="2:14" x14ac:dyDescent="0.25">
      <c r="B68" s="14">
        <v>64</v>
      </c>
      <c r="C68" s="14" t="s">
        <v>16</v>
      </c>
      <c r="D68" s="15" t="s">
        <v>55</v>
      </c>
      <c r="E68" s="15" t="s">
        <v>104</v>
      </c>
      <c r="F68" s="15">
        <f t="shared" si="0"/>
        <v>6.9444444444444198E-4</v>
      </c>
      <c r="G68" s="14">
        <f t="shared" si="1"/>
        <v>0.99999999999999645</v>
      </c>
      <c r="H68" s="14">
        <f t="shared" si="2"/>
        <v>1108</v>
      </c>
      <c r="I68" s="14">
        <f t="shared" si="3"/>
        <v>2</v>
      </c>
      <c r="K68" s="5"/>
      <c r="L68" s="5"/>
      <c r="N68" s="5"/>
    </row>
    <row r="69" spans="2:14" x14ac:dyDescent="0.25">
      <c r="B69" s="14">
        <v>65</v>
      </c>
      <c r="C69" s="14" t="s">
        <v>16</v>
      </c>
      <c r="D69" s="15" t="s">
        <v>104</v>
      </c>
      <c r="E69" s="15" t="s">
        <v>56</v>
      </c>
      <c r="F69" s="15">
        <f t="shared" si="0"/>
        <v>6.9444444444444198E-4</v>
      </c>
      <c r="G69" s="14">
        <f t="shared" si="1"/>
        <v>0.99999999999999645</v>
      </c>
      <c r="H69" s="14">
        <f t="shared" si="2"/>
        <v>1108</v>
      </c>
      <c r="I69" s="14">
        <f t="shared" si="3"/>
        <v>0</v>
      </c>
      <c r="K69" s="5"/>
      <c r="L69" s="5"/>
      <c r="N69" s="5"/>
    </row>
    <row r="70" spans="2:14" x14ac:dyDescent="0.25">
      <c r="B70" s="14">
        <v>66</v>
      </c>
      <c r="C70" s="14" t="s">
        <v>17</v>
      </c>
      <c r="D70" s="15" t="s">
        <v>56</v>
      </c>
      <c r="E70" s="15" t="s">
        <v>36</v>
      </c>
      <c r="F70" s="15">
        <f t="shared" ref="F70:F133" si="4">E70-D70</f>
        <v>6.9444444444444198E-4</v>
      </c>
      <c r="G70" s="14">
        <f t="shared" ref="G70:G133" si="5">F70*60*24</f>
        <v>0.99999999999999645</v>
      </c>
      <c r="H70" s="14">
        <f t="shared" ref="H70:H133" si="6">C70*24*60</f>
        <v>1110</v>
      </c>
      <c r="I70" s="14">
        <f t="shared" si="3"/>
        <v>2</v>
      </c>
      <c r="K70" s="5"/>
      <c r="L70" s="5"/>
      <c r="N70" s="5"/>
    </row>
    <row r="71" spans="2:14" x14ac:dyDescent="0.25">
      <c r="B71" s="14">
        <v>67</v>
      </c>
      <c r="C71" s="14" t="s">
        <v>26</v>
      </c>
      <c r="D71" s="15" t="s">
        <v>36</v>
      </c>
      <c r="E71" s="15" t="s">
        <v>37</v>
      </c>
      <c r="F71" s="15">
        <f t="shared" si="4"/>
        <v>1.388888888888884E-3</v>
      </c>
      <c r="G71" s="14">
        <f t="shared" si="5"/>
        <v>1.9999999999999929</v>
      </c>
      <c r="H71" s="14">
        <f t="shared" si="6"/>
        <v>1111</v>
      </c>
      <c r="I71" s="14">
        <f t="shared" ref="I71:I133" si="7">H71-H70</f>
        <v>1</v>
      </c>
      <c r="K71" s="5"/>
      <c r="L71" s="5"/>
      <c r="N71" s="5"/>
    </row>
    <row r="72" spans="2:14" x14ac:dyDescent="0.25">
      <c r="B72" s="14">
        <v>68</v>
      </c>
      <c r="C72" s="14" t="s">
        <v>26</v>
      </c>
      <c r="D72" s="15" t="s">
        <v>37</v>
      </c>
      <c r="E72" s="15" t="s">
        <v>82</v>
      </c>
      <c r="F72" s="15">
        <f t="shared" si="4"/>
        <v>3.4722222222223209E-3</v>
      </c>
      <c r="G72" s="14">
        <f t="shared" si="5"/>
        <v>5.0000000000001421</v>
      </c>
      <c r="H72" s="14">
        <f t="shared" si="6"/>
        <v>1111</v>
      </c>
      <c r="I72" s="14">
        <f t="shared" si="7"/>
        <v>0</v>
      </c>
      <c r="K72" s="5"/>
      <c r="L72" s="5"/>
      <c r="N72" s="5"/>
    </row>
    <row r="73" spans="2:14" x14ac:dyDescent="0.25">
      <c r="B73" s="14">
        <v>69</v>
      </c>
      <c r="C73" s="14" t="s">
        <v>49</v>
      </c>
      <c r="D73" s="15" t="s">
        <v>82</v>
      </c>
      <c r="E73" s="15" t="s">
        <v>58</v>
      </c>
      <c r="F73" s="15">
        <f t="shared" si="4"/>
        <v>6.9444444444444198E-4</v>
      </c>
      <c r="G73" s="14">
        <f t="shared" si="5"/>
        <v>0.99999999999999645</v>
      </c>
      <c r="H73" s="14">
        <f t="shared" si="6"/>
        <v>1113</v>
      </c>
      <c r="I73" s="14">
        <f t="shared" si="7"/>
        <v>2</v>
      </c>
      <c r="K73" s="5"/>
      <c r="L73" s="5"/>
      <c r="N73" s="5"/>
    </row>
    <row r="74" spans="2:14" x14ac:dyDescent="0.25">
      <c r="B74" s="14">
        <v>70</v>
      </c>
      <c r="C74" s="14" t="s">
        <v>27</v>
      </c>
      <c r="D74" s="15" t="s">
        <v>58</v>
      </c>
      <c r="E74" s="15" t="s">
        <v>105</v>
      </c>
      <c r="F74" s="15">
        <f t="shared" si="4"/>
        <v>4.8611111111110938E-3</v>
      </c>
      <c r="G74" s="14">
        <f t="shared" si="5"/>
        <v>6.9999999999999751</v>
      </c>
      <c r="H74" s="14">
        <f t="shared" si="6"/>
        <v>1114</v>
      </c>
      <c r="I74" s="14">
        <f t="shared" si="7"/>
        <v>1</v>
      </c>
      <c r="K74" s="5"/>
      <c r="L74" s="5"/>
      <c r="N74" s="5"/>
    </row>
    <row r="75" spans="2:14" x14ac:dyDescent="0.25">
      <c r="B75" s="14">
        <v>71</v>
      </c>
      <c r="C75" s="14" t="s">
        <v>27</v>
      </c>
      <c r="D75" s="15" t="s">
        <v>105</v>
      </c>
      <c r="E75" s="15" t="s">
        <v>60</v>
      </c>
      <c r="F75" s="15">
        <f t="shared" si="4"/>
        <v>6.9444444444444198E-4</v>
      </c>
      <c r="G75" s="14">
        <f t="shared" si="5"/>
        <v>0.99999999999999645</v>
      </c>
      <c r="H75" s="14">
        <f t="shared" si="6"/>
        <v>1114</v>
      </c>
      <c r="I75" s="14">
        <f t="shared" si="7"/>
        <v>0</v>
      </c>
      <c r="K75" s="5"/>
      <c r="L75" s="5"/>
      <c r="N75" s="5"/>
    </row>
    <row r="76" spans="2:14" x14ac:dyDescent="0.25">
      <c r="B76" s="14">
        <v>72</v>
      </c>
      <c r="C76" s="14" t="s">
        <v>50</v>
      </c>
      <c r="D76" s="15" t="s">
        <v>60</v>
      </c>
      <c r="E76" s="15" t="s">
        <v>84</v>
      </c>
      <c r="F76" s="15">
        <f t="shared" si="4"/>
        <v>6.9444444444444198E-4</v>
      </c>
      <c r="G76" s="14">
        <f t="shared" si="5"/>
        <v>0.99999999999999645</v>
      </c>
      <c r="H76" s="14">
        <f t="shared" si="6"/>
        <v>1115.0000000000002</v>
      </c>
      <c r="I76" s="14">
        <f t="shared" si="7"/>
        <v>1.0000000000002274</v>
      </c>
      <c r="K76" s="5"/>
      <c r="L76" s="5"/>
      <c r="N76" s="5"/>
    </row>
    <row r="77" spans="2:14" x14ac:dyDescent="0.25">
      <c r="B77" s="14">
        <v>73</v>
      </c>
      <c r="C77" s="14" t="s">
        <v>72</v>
      </c>
      <c r="D77" s="15" t="s">
        <v>84</v>
      </c>
      <c r="E77" s="15" t="s">
        <v>89</v>
      </c>
      <c r="F77" s="15">
        <f t="shared" si="4"/>
        <v>1.388888888888884E-3</v>
      </c>
      <c r="G77" s="14">
        <f t="shared" si="5"/>
        <v>1.9999999999999929</v>
      </c>
      <c r="H77" s="14">
        <f t="shared" si="6"/>
        <v>1116</v>
      </c>
      <c r="I77" s="14">
        <f t="shared" si="7"/>
        <v>0.99999999999977263</v>
      </c>
      <c r="K77" s="5"/>
      <c r="L77" s="5"/>
      <c r="N77" s="5"/>
    </row>
    <row r="78" spans="2:14" x14ac:dyDescent="0.25">
      <c r="B78" s="14">
        <v>74</v>
      </c>
      <c r="C78" s="14" t="s">
        <v>72</v>
      </c>
      <c r="D78" s="15" t="s">
        <v>89</v>
      </c>
      <c r="E78" s="15" t="s">
        <v>106</v>
      </c>
      <c r="F78" s="15">
        <f t="shared" si="4"/>
        <v>4.8611111111110938E-3</v>
      </c>
      <c r="G78" s="14">
        <f t="shared" si="5"/>
        <v>6.9999999999999751</v>
      </c>
      <c r="H78" s="14">
        <f t="shared" si="6"/>
        <v>1116</v>
      </c>
      <c r="I78" s="14">
        <f t="shared" si="7"/>
        <v>0</v>
      </c>
      <c r="K78" s="5"/>
      <c r="L78" s="5"/>
      <c r="N78" s="5"/>
    </row>
    <row r="79" spans="2:14" x14ac:dyDescent="0.25">
      <c r="B79" s="14">
        <v>75</v>
      </c>
      <c r="C79" s="14" t="s">
        <v>73</v>
      </c>
      <c r="D79" s="15" t="s">
        <v>106</v>
      </c>
      <c r="E79" s="15" t="s">
        <v>90</v>
      </c>
      <c r="F79" s="15">
        <f t="shared" si="4"/>
        <v>6.9444444444444198E-4</v>
      </c>
      <c r="G79" s="14">
        <f t="shared" si="5"/>
        <v>0.99999999999999645</v>
      </c>
      <c r="H79" s="14">
        <f t="shared" si="6"/>
        <v>1117</v>
      </c>
      <c r="I79" s="14">
        <f t="shared" si="7"/>
        <v>1</v>
      </c>
      <c r="K79" s="5"/>
      <c r="L79" s="5"/>
      <c r="N79" s="5"/>
    </row>
    <row r="80" spans="2:14" x14ac:dyDescent="0.25">
      <c r="B80" s="14">
        <v>76</v>
      </c>
      <c r="C80" s="14" t="s">
        <v>18</v>
      </c>
      <c r="D80" s="15" t="s">
        <v>90</v>
      </c>
      <c r="E80" s="15" t="s">
        <v>107</v>
      </c>
      <c r="F80" s="15">
        <f t="shared" si="4"/>
        <v>3.4722222222222099E-3</v>
      </c>
      <c r="G80" s="14">
        <f t="shared" si="5"/>
        <v>4.9999999999999822</v>
      </c>
      <c r="H80" s="14">
        <f t="shared" si="6"/>
        <v>1118</v>
      </c>
      <c r="I80" s="14">
        <f t="shared" si="7"/>
        <v>1</v>
      </c>
      <c r="K80" s="5"/>
      <c r="L80" s="5"/>
      <c r="N80" s="5"/>
    </row>
    <row r="81" spans="2:14" x14ac:dyDescent="0.25">
      <c r="B81" s="14">
        <v>77</v>
      </c>
      <c r="C81" s="14" t="s">
        <v>20</v>
      </c>
      <c r="D81" s="15" t="s">
        <v>107</v>
      </c>
      <c r="E81" s="15" t="s">
        <v>95</v>
      </c>
      <c r="F81" s="15">
        <f t="shared" si="4"/>
        <v>2.7777777777777679E-3</v>
      </c>
      <c r="G81" s="14">
        <f t="shared" si="5"/>
        <v>3.9999999999999858</v>
      </c>
      <c r="H81" s="14">
        <f t="shared" si="6"/>
        <v>1121</v>
      </c>
      <c r="I81" s="14">
        <f t="shared" si="7"/>
        <v>3</v>
      </c>
      <c r="K81" s="5"/>
      <c r="L81" s="5"/>
      <c r="N81" s="5"/>
    </row>
    <row r="82" spans="2:14" x14ac:dyDescent="0.25">
      <c r="B82" s="14">
        <v>78</v>
      </c>
      <c r="C82" s="14" t="s">
        <v>30</v>
      </c>
      <c r="D82" s="15" t="s">
        <v>95</v>
      </c>
      <c r="E82" s="15" t="s">
        <v>108</v>
      </c>
      <c r="F82" s="15">
        <f t="shared" si="4"/>
        <v>3.4722222222222099E-3</v>
      </c>
      <c r="G82" s="14">
        <f t="shared" si="5"/>
        <v>4.9999999999999822</v>
      </c>
      <c r="H82" s="14">
        <f t="shared" si="6"/>
        <v>1125</v>
      </c>
      <c r="I82" s="14">
        <f t="shared" si="7"/>
        <v>4</v>
      </c>
      <c r="K82" s="5"/>
      <c r="L82" s="5"/>
      <c r="N82" s="5"/>
    </row>
    <row r="83" spans="2:14" x14ac:dyDescent="0.25">
      <c r="B83" s="14">
        <v>79</v>
      </c>
      <c r="C83" s="14" t="s">
        <v>74</v>
      </c>
      <c r="D83" s="15" t="s">
        <v>108</v>
      </c>
      <c r="E83" s="15" t="s">
        <v>109</v>
      </c>
      <c r="F83" s="15">
        <f t="shared" si="4"/>
        <v>1.388888888888884E-3</v>
      </c>
      <c r="G83" s="14">
        <f t="shared" si="5"/>
        <v>1.9999999999999929</v>
      </c>
      <c r="H83" s="14">
        <f t="shared" si="6"/>
        <v>1127</v>
      </c>
      <c r="I83" s="14">
        <f t="shared" si="7"/>
        <v>2</v>
      </c>
      <c r="K83" s="5"/>
      <c r="L83" s="5"/>
      <c r="N83" s="5"/>
    </row>
    <row r="84" spans="2:14" x14ac:dyDescent="0.25">
      <c r="B84" s="14">
        <v>80</v>
      </c>
      <c r="C84" s="14" t="s">
        <v>22</v>
      </c>
      <c r="D84" s="15" t="s">
        <v>109</v>
      </c>
      <c r="E84" s="15" t="s">
        <v>99</v>
      </c>
      <c r="F84" s="15">
        <f t="shared" si="4"/>
        <v>6.2500000000000888E-3</v>
      </c>
      <c r="G84" s="14">
        <f t="shared" si="5"/>
        <v>9.0000000000001279</v>
      </c>
      <c r="H84" s="14">
        <f t="shared" si="6"/>
        <v>1128</v>
      </c>
      <c r="I84" s="14">
        <f t="shared" si="7"/>
        <v>1</v>
      </c>
      <c r="K84" s="5"/>
      <c r="L84" s="5"/>
      <c r="N84" s="5"/>
    </row>
    <row r="85" spans="2:14" x14ac:dyDescent="0.25">
      <c r="B85" s="14">
        <v>81</v>
      </c>
      <c r="C85" s="14" t="s">
        <v>75</v>
      </c>
      <c r="D85" s="15" t="s">
        <v>99</v>
      </c>
      <c r="E85" s="15" t="s">
        <v>100</v>
      </c>
      <c r="F85" s="15">
        <f t="shared" si="4"/>
        <v>2.0833333333333259E-3</v>
      </c>
      <c r="G85" s="14">
        <f t="shared" si="5"/>
        <v>2.9999999999999893</v>
      </c>
      <c r="H85" s="14">
        <f t="shared" si="6"/>
        <v>1131</v>
      </c>
      <c r="I85" s="14">
        <f t="shared" si="7"/>
        <v>3</v>
      </c>
      <c r="K85" s="5"/>
      <c r="L85" s="5"/>
      <c r="N85" s="5"/>
    </row>
    <row r="86" spans="2:14" x14ac:dyDescent="0.25">
      <c r="B86" s="14">
        <v>82</v>
      </c>
      <c r="C86" s="14" t="s">
        <v>52</v>
      </c>
      <c r="D86" s="15" t="s">
        <v>100</v>
      </c>
      <c r="E86" s="15" t="s">
        <v>101</v>
      </c>
      <c r="F86" s="15">
        <f t="shared" si="4"/>
        <v>2.0833333333333259E-3</v>
      </c>
      <c r="G86" s="14">
        <f t="shared" si="5"/>
        <v>2.9999999999999893</v>
      </c>
      <c r="H86" s="14">
        <f t="shared" si="6"/>
        <v>1133</v>
      </c>
      <c r="I86" s="14">
        <f t="shared" si="7"/>
        <v>2</v>
      </c>
      <c r="K86" s="5"/>
      <c r="L86" s="5"/>
      <c r="N86" s="5"/>
    </row>
    <row r="87" spans="2:14" x14ac:dyDescent="0.25">
      <c r="B87" s="14">
        <v>83</v>
      </c>
      <c r="C87" s="14" t="s">
        <v>33</v>
      </c>
      <c r="D87" s="15" t="s">
        <v>101</v>
      </c>
      <c r="E87" s="15" t="s">
        <v>102</v>
      </c>
      <c r="F87" s="15">
        <f t="shared" si="4"/>
        <v>6.9444444444444198E-4</v>
      </c>
      <c r="G87" s="14">
        <f t="shared" si="5"/>
        <v>0.99999999999999645</v>
      </c>
      <c r="H87" s="14">
        <f t="shared" si="6"/>
        <v>1136</v>
      </c>
      <c r="I87" s="14">
        <f t="shared" si="7"/>
        <v>3</v>
      </c>
      <c r="K87" s="5"/>
      <c r="L87" s="5"/>
      <c r="N87" s="5"/>
    </row>
    <row r="88" spans="2:14" x14ac:dyDescent="0.25">
      <c r="B88" s="14">
        <v>84</v>
      </c>
      <c r="C88" s="14" t="s">
        <v>53</v>
      </c>
      <c r="D88" s="15" t="s">
        <v>102</v>
      </c>
      <c r="E88" s="15" t="s">
        <v>110</v>
      </c>
      <c r="F88" s="15">
        <f t="shared" si="4"/>
        <v>2.0833333333333259E-3</v>
      </c>
      <c r="G88" s="14">
        <f t="shared" si="5"/>
        <v>2.9999999999999893</v>
      </c>
      <c r="H88" s="14">
        <f t="shared" si="6"/>
        <v>1138</v>
      </c>
      <c r="I88" s="14">
        <f t="shared" si="7"/>
        <v>2</v>
      </c>
      <c r="K88" s="5"/>
      <c r="L88" s="5"/>
      <c r="N88" s="5"/>
    </row>
    <row r="89" spans="2:14" x14ac:dyDescent="0.25">
      <c r="B89" s="14">
        <v>85</v>
      </c>
      <c r="C89" s="14" t="s">
        <v>45</v>
      </c>
      <c r="D89" s="15" t="s">
        <v>45</v>
      </c>
      <c r="E89" s="15" t="s">
        <v>85</v>
      </c>
      <c r="F89" s="15">
        <f t="shared" si="4"/>
        <v>1.388888888888884E-3</v>
      </c>
      <c r="G89" s="14">
        <f t="shared" si="5"/>
        <v>1.9999999999999929</v>
      </c>
      <c r="H89" s="14">
        <f t="shared" si="6"/>
        <v>1080</v>
      </c>
      <c r="I89" s="14"/>
      <c r="K89" s="5"/>
      <c r="L89" s="5"/>
      <c r="N89" s="5"/>
    </row>
    <row r="90" spans="2:14" x14ac:dyDescent="0.25">
      <c r="B90" s="14">
        <v>86</v>
      </c>
      <c r="C90" s="14" t="s">
        <v>85</v>
      </c>
      <c r="D90" s="15" t="s">
        <v>85</v>
      </c>
      <c r="E90" s="15" t="s">
        <v>3</v>
      </c>
      <c r="F90" s="15">
        <f t="shared" si="4"/>
        <v>1.388888888888884E-3</v>
      </c>
      <c r="G90" s="14">
        <f t="shared" si="5"/>
        <v>1.9999999999999929</v>
      </c>
      <c r="H90" s="14">
        <f t="shared" si="6"/>
        <v>1082</v>
      </c>
      <c r="I90" s="14">
        <f t="shared" si="7"/>
        <v>2</v>
      </c>
      <c r="K90" s="5"/>
      <c r="L90" s="5"/>
      <c r="N90" s="5"/>
    </row>
    <row r="91" spans="2:14" x14ac:dyDescent="0.25">
      <c r="B91" s="14">
        <v>87</v>
      </c>
      <c r="C91" s="14" t="s">
        <v>47</v>
      </c>
      <c r="D91" s="15" t="s">
        <v>47</v>
      </c>
      <c r="E91" s="15" t="s">
        <v>6</v>
      </c>
      <c r="F91" s="15">
        <f t="shared" si="4"/>
        <v>2.0833333333333259E-3</v>
      </c>
      <c r="G91" s="14">
        <f t="shared" si="5"/>
        <v>2.9999999999999893</v>
      </c>
      <c r="H91" s="14">
        <f t="shared" si="6"/>
        <v>1086</v>
      </c>
      <c r="I91" s="14">
        <f t="shared" si="7"/>
        <v>4</v>
      </c>
      <c r="K91" s="5"/>
      <c r="L91" s="5"/>
      <c r="N91" s="5"/>
    </row>
    <row r="92" spans="2:14" x14ac:dyDescent="0.25">
      <c r="B92" s="14">
        <v>88</v>
      </c>
      <c r="C92" s="14" t="s">
        <v>86</v>
      </c>
      <c r="D92" s="15" t="s">
        <v>6</v>
      </c>
      <c r="E92" s="15" t="s">
        <v>8</v>
      </c>
      <c r="F92" s="15">
        <f t="shared" si="4"/>
        <v>2.0833333333333259E-3</v>
      </c>
      <c r="G92" s="14">
        <f t="shared" si="5"/>
        <v>2.9999999999999893</v>
      </c>
      <c r="H92" s="14">
        <f t="shared" si="6"/>
        <v>1088</v>
      </c>
      <c r="I92" s="14">
        <f t="shared" si="7"/>
        <v>2</v>
      </c>
      <c r="K92" s="5"/>
      <c r="L92" s="5"/>
      <c r="N92" s="5"/>
    </row>
    <row r="93" spans="2:14" x14ac:dyDescent="0.25">
      <c r="B93" s="14">
        <v>89</v>
      </c>
      <c r="C93" s="14" t="s">
        <v>8</v>
      </c>
      <c r="D93" s="15" t="s">
        <v>8</v>
      </c>
      <c r="E93" s="15" t="s">
        <v>69</v>
      </c>
      <c r="F93" s="15">
        <f t="shared" si="4"/>
        <v>2.0833333333333259E-3</v>
      </c>
      <c r="G93" s="14">
        <f t="shared" si="5"/>
        <v>2.9999999999999893</v>
      </c>
      <c r="H93" s="14">
        <f t="shared" si="6"/>
        <v>1092</v>
      </c>
      <c r="I93" s="14">
        <f t="shared" si="7"/>
        <v>4</v>
      </c>
      <c r="K93" s="5"/>
      <c r="L93" s="5"/>
      <c r="N93" s="5"/>
    </row>
    <row r="94" spans="2:14" x14ac:dyDescent="0.25">
      <c r="B94" s="14">
        <v>90</v>
      </c>
      <c r="C94" s="14" t="s">
        <v>8</v>
      </c>
      <c r="D94" s="15" t="s">
        <v>69</v>
      </c>
      <c r="E94" s="15" t="s">
        <v>70</v>
      </c>
      <c r="F94" s="15">
        <f t="shared" si="4"/>
        <v>1.388888888888884E-3</v>
      </c>
      <c r="G94" s="14">
        <f t="shared" si="5"/>
        <v>1.9999999999999929</v>
      </c>
      <c r="H94" s="14">
        <f t="shared" si="6"/>
        <v>1092</v>
      </c>
      <c r="I94" s="14">
        <f t="shared" si="7"/>
        <v>0</v>
      </c>
      <c r="K94" s="5"/>
      <c r="L94" s="5"/>
      <c r="N94" s="5"/>
    </row>
    <row r="95" spans="2:14" x14ac:dyDescent="0.25">
      <c r="B95" s="14">
        <v>91</v>
      </c>
      <c r="C95" s="14" t="s">
        <v>68</v>
      </c>
      <c r="D95" s="15" t="s">
        <v>70</v>
      </c>
      <c r="E95" s="15" t="s">
        <v>13</v>
      </c>
      <c r="F95" s="15">
        <f t="shared" si="4"/>
        <v>4.8611111111112049E-3</v>
      </c>
      <c r="G95" s="14">
        <f t="shared" si="5"/>
        <v>7.000000000000135</v>
      </c>
      <c r="H95" s="14">
        <f t="shared" si="6"/>
        <v>1093</v>
      </c>
      <c r="I95" s="14">
        <f t="shared" si="7"/>
        <v>1</v>
      </c>
      <c r="K95" s="5"/>
      <c r="L95" s="5"/>
      <c r="N95" s="5"/>
    </row>
    <row r="96" spans="2:14" x14ac:dyDescent="0.25">
      <c r="B96" s="14">
        <v>92</v>
      </c>
      <c r="C96" s="14" t="s">
        <v>10</v>
      </c>
      <c r="D96" s="15" t="s">
        <v>13</v>
      </c>
      <c r="E96" s="15" t="s">
        <v>71</v>
      </c>
      <c r="F96" s="15">
        <f t="shared" si="4"/>
        <v>6.9444444444444198E-4</v>
      </c>
      <c r="G96" s="14">
        <f t="shared" si="5"/>
        <v>0.99999999999999645</v>
      </c>
      <c r="H96" s="14">
        <f t="shared" si="6"/>
        <v>1099</v>
      </c>
      <c r="I96" s="14">
        <f t="shared" si="7"/>
        <v>6</v>
      </c>
      <c r="K96" s="5"/>
      <c r="L96" s="5"/>
      <c r="N96" s="5"/>
    </row>
    <row r="97" spans="2:14" x14ac:dyDescent="0.25">
      <c r="B97" s="14">
        <v>93</v>
      </c>
      <c r="C97" s="14" t="s">
        <v>13</v>
      </c>
      <c r="D97" s="15" t="s">
        <v>71</v>
      </c>
      <c r="E97" s="15" t="s">
        <v>16</v>
      </c>
      <c r="F97" s="15">
        <f t="shared" si="4"/>
        <v>2.0833333333333259E-3</v>
      </c>
      <c r="G97" s="14">
        <f t="shared" si="5"/>
        <v>2.9999999999999893</v>
      </c>
      <c r="H97" s="14">
        <f t="shared" si="6"/>
        <v>1104.0000000000002</v>
      </c>
      <c r="I97" s="14">
        <f t="shared" si="7"/>
        <v>5.0000000000002274</v>
      </c>
      <c r="K97" s="5"/>
      <c r="L97" s="5"/>
      <c r="N97" s="5"/>
    </row>
    <row r="98" spans="2:14" x14ac:dyDescent="0.25">
      <c r="B98" s="14">
        <v>94</v>
      </c>
      <c r="C98" s="14" t="s">
        <v>54</v>
      </c>
      <c r="D98" s="15" t="s">
        <v>54</v>
      </c>
      <c r="E98" s="15" t="s">
        <v>27</v>
      </c>
      <c r="F98" s="15">
        <f t="shared" si="4"/>
        <v>3.4722222222222099E-3</v>
      </c>
      <c r="G98" s="14">
        <f t="shared" si="5"/>
        <v>4.9999999999999822</v>
      </c>
      <c r="H98" s="14">
        <f t="shared" si="6"/>
        <v>1109</v>
      </c>
      <c r="I98" s="14">
        <f t="shared" si="7"/>
        <v>4.9999999999997726</v>
      </c>
      <c r="K98" s="5"/>
      <c r="L98" s="5"/>
      <c r="N98" s="5"/>
    </row>
    <row r="99" spans="2:14" x14ac:dyDescent="0.25">
      <c r="B99" s="14">
        <v>95</v>
      </c>
      <c r="C99" s="14" t="s">
        <v>49</v>
      </c>
      <c r="D99" s="15" t="s">
        <v>27</v>
      </c>
      <c r="E99" s="15" t="s">
        <v>28</v>
      </c>
      <c r="F99" s="15">
        <f t="shared" si="4"/>
        <v>3.4722222222222099E-3</v>
      </c>
      <c r="G99" s="14">
        <f t="shared" si="5"/>
        <v>4.9999999999999822</v>
      </c>
      <c r="H99" s="14">
        <f t="shared" si="6"/>
        <v>1113</v>
      </c>
      <c r="I99" s="14">
        <f t="shared" si="7"/>
        <v>4</v>
      </c>
      <c r="K99" s="5"/>
      <c r="L99" s="5"/>
      <c r="N99" s="5"/>
    </row>
    <row r="100" spans="2:14" x14ac:dyDescent="0.25">
      <c r="B100" s="14">
        <v>96</v>
      </c>
      <c r="C100" s="14" t="s">
        <v>50</v>
      </c>
      <c r="D100" s="15" t="s">
        <v>28</v>
      </c>
      <c r="E100" s="15" t="s">
        <v>57</v>
      </c>
      <c r="F100" s="15">
        <f t="shared" si="4"/>
        <v>2.0833333333333259E-3</v>
      </c>
      <c r="G100" s="14">
        <f t="shared" si="5"/>
        <v>2.9999999999999893</v>
      </c>
      <c r="H100" s="14">
        <f t="shared" si="6"/>
        <v>1115.0000000000002</v>
      </c>
      <c r="I100" s="14">
        <f t="shared" si="7"/>
        <v>2.0000000000002274</v>
      </c>
      <c r="K100" s="5"/>
      <c r="L100" s="5"/>
      <c r="N100" s="5"/>
    </row>
    <row r="101" spans="2:14" x14ac:dyDescent="0.25">
      <c r="B101" s="14">
        <v>97</v>
      </c>
      <c r="C101" s="14" t="s">
        <v>18</v>
      </c>
      <c r="D101" s="15" t="s">
        <v>57</v>
      </c>
      <c r="E101" s="15" t="s">
        <v>51</v>
      </c>
      <c r="F101" s="15">
        <f t="shared" si="4"/>
        <v>4.8611111111110938E-3</v>
      </c>
      <c r="G101" s="14">
        <f t="shared" si="5"/>
        <v>6.9999999999999751</v>
      </c>
      <c r="H101" s="14">
        <f t="shared" si="6"/>
        <v>1118</v>
      </c>
      <c r="I101" s="14">
        <f t="shared" si="7"/>
        <v>2.9999999999997726</v>
      </c>
      <c r="K101" s="5"/>
      <c r="L101" s="5"/>
      <c r="N101" s="5"/>
    </row>
    <row r="102" spans="2:14" x14ac:dyDescent="0.25">
      <c r="B102" s="14">
        <v>98</v>
      </c>
      <c r="C102" s="14" t="s">
        <v>29</v>
      </c>
      <c r="D102" s="15" t="s">
        <v>51</v>
      </c>
      <c r="E102" s="15" t="s">
        <v>75</v>
      </c>
      <c r="F102" s="15">
        <f t="shared" si="4"/>
        <v>1.388888888888884E-3</v>
      </c>
      <c r="G102" s="14">
        <f t="shared" si="5"/>
        <v>1.9999999999999929</v>
      </c>
      <c r="H102" s="14">
        <f t="shared" si="6"/>
        <v>1124</v>
      </c>
      <c r="I102" s="14">
        <f t="shared" si="7"/>
        <v>6</v>
      </c>
      <c r="K102" s="5"/>
      <c r="L102" s="5"/>
      <c r="N102" s="5"/>
    </row>
    <row r="103" spans="2:14" x14ac:dyDescent="0.25">
      <c r="B103" s="14">
        <v>99</v>
      </c>
      <c r="C103" s="14" t="s">
        <v>30</v>
      </c>
      <c r="D103" s="15" t="s">
        <v>75</v>
      </c>
      <c r="E103" s="15" t="s">
        <v>53</v>
      </c>
      <c r="F103" s="15">
        <f t="shared" si="4"/>
        <v>4.8611111111110938E-3</v>
      </c>
      <c r="G103" s="14">
        <f t="shared" si="5"/>
        <v>6.9999999999999751</v>
      </c>
      <c r="H103" s="14">
        <f t="shared" si="6"/>
        <v>1125</v>
      </c>
      <c r="I103" s="14">
        <f t="shared" si="7"/>
        <v>1</v>
      </c>
      <c r="K103" s="5"/>
      <c r="L103" s="5"/>
      <c r="N103" s="5"/>
    </row>
    <row r="104" spans="2:14" x14ac:dyDescent="0.25">
      <c r="B104" s="14">
        <v>100</v>
      </c>
      <c r="C104" s="14" t="s">
        <v>22</v>
      </c>
      <c r="D104" s="15" t="s">
        <v>53</v>
      </c>
      <c r="E104" s="15" t="s">
        <v>88</v>
      </c>
      <c r="F104" s="15">
        <f t="shared" si="4"/>
        <v>2.0833333333333259E-3</v>
      </c>
      <c r="G104" s="14">
        <f t="shared" si="5"/>
        <v>2.9999999999999893</v>
      </c>
      <c r="H104" s="14">
        <f t="shared" si="6"/>
        <v>1128</v>
      </c>
      <c r="I104" s="14">
        <f t="shared" si="7"/>
        <v>3</v>
      </c>
      <c r="K104" s="5"/>
      <c r="L104" s="5"/>
      <c r="N104" s="5"/>
    </row>
    <row r="105" spans="2:14" x14ac:dyDescent="0.25">
      <c r="B105" s="14">
        <v>101</v>
      </c>
      <c r="C105" s="14" t="s">
        <v>51</v>
      </c>
      <c r="D105" s="15" t="s">
        <v>88</v>
      </c>
      <c r="E105" s="15" t="s">
        <v>55</v>
      </c>
      <c r="F105" s="15">
        <f t="shared" si="4"/>
        <v>6.9444444444444198E-4</v>
      </c>
      <c r="G105" s="14">
        <f t="shared" si="5"/>
        <v>0.99999999999999645</v>
      </c>
      <c r="H105" s="14">
        <f t="shared" si="6"/>
        <v>1129</v>
      </c>
      <c r="I105" s="14">
        <f t="shared" si="7"/>
        <v>1</v>
      </c>
      <c r="K105" s="5"/>
      <c r="L105" s="5"/>
      <c r="N105" s="5"/>
    </row>
    <row r="106" spans="2:14" x14ac:dyDescent="0.25">
      <c r="B106" s="14">
        <v>102</v>
      </c>
      <c r="C106" s="14" t="s">
        <v>23</v>
      </c>
      <c r="D106" s="15" t="s">
        <v>55</v>
      </c>
      <c r="E106" s="15" t="s">
        <v>81</v>
      </c>
      <c r="F106" s="15">
        <f t="shared" si="4"/>
        <v>4.1666666666667629E-3</v>
      </c>
      <c r="G106" s="14">
        <f t="shared" si="5"/>
        <v>6.0000000000001386</v>
      </c>
      <c r="H106" s="14">
        <f t="shared" si="6"/>
        <v>1130</v>
      </c>
      <c r="I106" s="14">
        <f t="shared" si="7"/>
        <v>1</v>
      </c>
      <c r="K106" s="5"/>
      <c r="L106" s="5"/>
      <c r="N106" s="5"/>
    </row>
    <row r="107" spans="2:14" x14ac:dyDescent="0.25">
      <c r="B107" s="14">
        <v>103</v>
      </c>
      <c r="C107" s="14" t="s">
        <v>75</v>
      </c>
      <c r="D107" s="15" t="s">
        <v>81</v>
      </c>
      <c r="E107" s="15" t="s">
        <v>111</v>
      </c>
      <c r="F107" s="15">
        <f t="shared" si="4"/>
        <v>1.388888888888884E-3</v>
      </c>
      <c r="G107" s="14">
        <f t="shared" si="5"/>
        <v>1.9999999999999929</v>
      </c>
      <c r="H107" s="14">
        <f t="shared" si="6"/>
        <v>1131</v>
      </c>
      <c r="I107" s="14">
        <f t="shared" si="7"/>
        <v>1</v>
      </c>
      <c r="K107" s="5"/>
      <c r="L107" s="5"/>
      <c r="N107" s="5"/>
    </row>
    <row r="108" spans="2:14" x14ac:dyDescent="0.25">
      <c r="B108" s="14">
        <v>104</v>
      </c>
      <c r="C108" s="14" t="s">
        <v>53</v>
      </c>
      <c r="D108" s="15" t="s">
        <v>111</v>
      </c>
      <c r="E108" s="15" t="s">
        <v>82</v>
      </c>
      <c r="F108" s="15">
        <f t="shared" si="4"/>
        <v>1.388888888888884E-3</v>
      </c>
      <c r="G108" s="14">
        <f t="shared" si="5"/>
        <v>1.9999999999999929</v>
      </c>
      <c r="H108" s="14">
        <f t="shared" si="6"/>
        <v>1138</v>
      </c>
      <c r="I108" s="14">
        <f t="shared" si="7"/>
        <v>7</v>
      </c>
      <c r="K108" s="5"/>
      <c r="L108" s="5"/>
      <c r="N108" s="5"/>
    </row>
    <row r="109" spans="2:14" x14ac:dyDescent="0.25">
      <c r="B109" s="14">
        <v>105</v>
      </c>
      <c r="C109" s="14" t="s">
        <v>85</v>
      </c>
      <c r="D109" s="15" t="s">
        <v>85</v>
      </c>
      <c r="E109" s="15" t="s">
        <v>47</v>
      </c>
      <c r="F109" s="15">
        <f t="shared" si="4"/>
        <v>2.7777777777777679E-3</v>
      </c>
      <c r="G109" s="14">
        <f t="shared" si="5"/>
        <v>3.9999999999999858</v>
      </c>
      <c r="H109" s="14">
        <f t="shared" si="6"/>
        <v>1082</v>
      </c>
      <c r="I109" s="14"/>
      <c r="K109" s="5"/>
      <c r="L109" s="5"/>
      <c r="N109" s="5"/>
    </row>
    <row r="110" spans="2:14" x14ac:dyDescent="0.25">
      <c r="B110" s="14">
        <v>106</v>
      </c>
      <c r="C110" s="14" t="s">
        <v>86</v>
      </c>
      <c r="D110" s="15" t="s">
        <v>86</v>
      </c>
      <c r="E110" s="15" t="s">
        <v>46</v>
      </c>
      <c r="F110" s="15">
        <f t="shared" si="4"/>
        <v>2.0833333333333259E-3</v>
      </c>
      <c r="G110" s="14">
        <f t="shared" si="5"/>
        <v>2.9999999999999893</v>
      </c>
      <c r="H110" s="14">
        <f t="shared" si="6"/>
        <v>1088</v>
      </c>
      <c r="I110" s="14">
        <f t="shared" si="7"/>
        <v>6</v>
      </c>
      <c r="K110" s="5"/>
      <c r="L110" s="5"/>
      <c r="N110" s="5"/>
    </row>
    <row r="111" spans="2:14" x14ac:dyDescent="0.25">
      <c r="B111" s="14">
        <v>107</v>
      </c>
      <c r="C111" s="14" t="s">
        <v>46</v>
      </c>
      <c r="D111" s="15" t="s">
        <v>46</v>
      </c>
      <c r="E111" s="15" t="s">
        <v>9</v>
      </c>
      <c r="F111" s="15">
        <f t="shared" si="4"/>
        <v>4.8611111111110938E-3</v>
      </c>
      <c r="G111" s="14">
        <f t="shared" si="5"/>
        <v>6.9999999999999751</v>
      </c>
      <c r="H111" s="14">
        <f t="shared" si="6"/>
        <v>1091</v>
      </c>
      <c r="I111" s="14">
        <f t="shared" si="7"/>
        <v>3</v>
      </c>
      <c r="K111" s="5"/>
      <c r="L111" s="5"/>
      <c r="N111" s="5"/>
    </row>
    <row r="112" spans="2:14" x14ac:dyDescent="0.25">
      <c r="B112" s="14">
        <v>108</v>
      </c>
      <c r="C112" s="14" t="s">
        <v>87</v>
      </c>
      <c r="D112" s="15" t="s">
        <v>9</v>
      </c>
      <c r="E112" s="15" t="s">
        <v>24</v>
      </c>
      <c r="F112" s="15">
        <f t="shared" si="4"/>
        <v>2.0833333333333259E-3</v>
      </c>
      <c r="G112" s="14">
        <f t="shared" si="5"/>
        <v>2.9999999999999893</v>
      </c>
      <c r="H112" s="14">
        <f t="shared" si="6"/>
        <v>1094</v>
      </c>
      <c r="I112" s="14">
        <f t="shared" si="7"/>
        <v>3</v>
      </c>
      <c r="K112" s="5"/>
      <c r="L112" s="5"/>
      <c r="N112" s="5"/>
    </row>
    <row r="113" spans="2:14" x14ac:dyDescent="0.25">
      <c r="B113" s="14">
        <v>109</v>
      </c>
      <c r="C113" s="14" t="s">
        <v>11</v>
      </c>
      <c r="D113" s="15" t="s">
        <v>24</v>
      </c>
      <c r="E113" s="15" t="s">
        <v>14</v>
      </c>
      <c r="F113" s="15">
        <f t="shared" si="4"/>
        <v>3.4722222222223209E-3</v>
      </c>
      <c r="G113" s="14">
        <f t="shared" si="5"/>
        <v>5.0000000000001421</v>
      </c>
      <c r="H113" s="14">
        <f t="shared" si="6"/>
        <v>1100</v>
      </c>
      <c r="I113" s="14">
        <f t="shared" si="7"/>
        <v>6</v>
      </c>
      <c r="K113" s="5"/>
      <c r="L113" s="5"/>
      <c r="N113" s="5"/>
    </row>
    <row r="114" spans="2:14" x14ac:dyDescent="0.25">
      <c r="B114" s="14">
        <v>110</v>
      </c>
      <c r="C114" s="14" t="s">
        <v>12</v>
      </c>
      <c r="D114" s="15" t="s">
        <v>14</v>
      </c>
      <c r="E114" s="15" t="s">
        <v>54</v>
      </c>
      <c r="F114" s="15">
        <f t="shared" si="4"/>
        <v>2.0833333333333259E-3</v>
      </c>
      <c r="G114" s="14">
        <f t="shared" si="5"/>
        <v>2.9999999999999893</v>
      </c>
      <c r="H114" s="14">
        <f t="shared" si="6"/>
        <v>1103</v>
      </c>
      <c r="I114" s="14">
        <f t="shared" si="7"/>
        <v>3</v>
      </c>
      <c r="K114" s="5"/>
      <c r="L114" s="5"/>
      <c r="N114" s="5"/>
    </row>
    <row r="115" spans="2:14" x14ac:dyDescent="0.25">
      <c r="B115" s="14">
        <v>111</v>
      </c>
      <c r="C115" s="14" t="s">
        <v>15</v>
      </c>
      <c r="D115" s="15" t="s">
        <v>54</v>
      </c>
      <c r="E115" s="15" t="s">
        <v>27</v>
      </c>
      <c r="F115" s="15">
        <f t="shared" si="4"/>
        <v>3.4722222222222099E-3</v>
      </c>
      <c r="G115" s="14">
        <f t="shared" si="5"/>
        <v>4.9999999999999822</v>
      </c>
      <c r="H115" s="14">
        <f t="shared" si="6"/>
        <v>1107.0000000000002</v>
      </c>
      <c r="I115" s="14">
        <f t="shared" si="7"/>
        <v>4.0000000000002274</v>
      </c>
      <c r="K115" s="5"/>
      <c r="L115" s="5"/>
      <c r="N115" s="5"/>
    </row>
    <row r="116" spans="2:14" x14ac:dyDescent="0.25">
      <c r="B116" s="14">
        <v>112</v>
      </c>
      <c r="C116" s="14" t="s">
        <v>26</v>
      </c>
      <c r="D116" s="15" t="s">
        <v>27</v>
      </c>
      <c r="E116" s="15" t="s">
        <v>20</v>
      </c>
      <c r="F116" s="15">
        <f t="shared" si="4"/>
        <v>4.8611111111110938E-3</v>
      </c>
      <c r="G116" s="14">
        <f t="shared" si="5"/>
        <v>6.9999999999999751</v>
      </c>
      <c r="H116" s="14">
        <f t="shared" si="6"/>
        <v>1111</v>
      </c>
      <c r="I116" s="14">
        <f t="shared" si="7"/>
        <v>3.9999999999997726</v>
      </c>
      <c r="K116" s="5"/>
      <c r="L116" s="5"/>
      <c r="N116" s="5"/>
    </row>
    <row r="117" spans="2:14" x14ac:dyDescent="0.25">
      <c r="B117" s="14">
        <v>113</v>
      </c>
      <c r="C117" s="14" t="s">
        <v>28</v>
      </c>
      <c r="D117" s="15" t="s">
        <v>20</v>
      </c>
      <c r="E117" s="15" t="s">
        <v>30</v>
      </c>
      <c r="F117" s="15">
        <f t="shared" si="4"/>
        <v>2.7777777777777679E-3</v>
      </c>
      <c r="G117" s="14">
        <f t="shared" si="5"/>
        <v>3.9999999999999858</v>
      </c>
      <c r="H117" s="14">
        <f t="shared" si="6"/>
        <v>1119</v>
      </c>
      <c r="I117" s="14">
        <f t="shared" si="7"/>
        <v>8</v>
      </c>
      <c r="K117" s="5"/>
      <c r="L117" s="5"/>
      <c r="N117" s="5"/>
    </row>
    <row r="118" spans="2:14" x14ac:dyDescent="0.25">
      <c r="B118" s="14">
        <v>114</v>
      </c>
      <c r="C118" s="14" t="s">
        <v>57</v>
      </c>
      <c r="D118" s="15" t="s">
        <v>30</v>
      </c>
      <c r="E118" s="15" t="s">
        <v>52</v>
      </c>
      <c r="F118" s="15">
        <f t="shared" si="4"/>
        <v>5.5555555555555358E-3</v>
      </c>
      <c r="G118" s="14">
        <f t="shared" si="5"/>
        <v>7.9999999999999716</v>
      </c>
      <c r="H118" s="14">
        <f t="shared" si="6"/>
        <v>1122</v>
      </c>
      <c r="I118" s="14">
        <f t="shared" si="7"/>
        <v>3</v>
      </c>
      <c r="K118" s="5"/>
      <c r="L118" s="5"/>
      <c r="N118" s="5"/>
    </row>
    <row r="119" spans="2:14" x14ac:dyDescent="0.25">
      <c r="B119" s="14">
        <v>115</v>
      </c>
      <c r="C119" s="14" t="s">
        <v>30</v>
      </c>
      <c r="D119" s="15" t="s">
        <v>52</v>
      </c>
      <c r="E119" s="15" t="s">
        <v>53</v>
      </c>
      <c r="F119" s="15">
        <f t="shared" si="4"/>
        <v>3.4722222222222099E-3</v>
      </c>
      <c r="G119" s="14">
        <f t="shared" si="5"/>
        <v>4.9999999999999822</v>
      </c>
      <c r="H119" s="14">
        <f t="shared" si="6"/>
        <v>1125</v>
      </c>
      <c r="I119" s="14">
        <f t="shared" si="7"/>
        <v>3</v>
      </c>
      <c r="K119" s="5"/>
      <c r="L119" s="5"/>
      <c r="N119" s="5"/>
    </row>
    <row r="120" spans="2:14" x14ac:dyDescent="0.25">
      <c r="B120" s="14">
        <v>116</v>
      </c>
      <c r="C120" s="14" t="s">
        <v>74</v>
      </c>
      <c r="D120" s="15" t="s">
        <v>53</v>
      </c>
      <c r="E120" s="15" t="s">
        <v>36</v>
      </c>
      <c r="F120" s="15">
        <f t="shared" si="4"/>
        <v>4.8611111111110938E-3</v>
      </c>
      <c r="G120" s="14">
        <f t="shared" si="5"/>
        <v>6.9999999999999751</v>
      </c>
      <c r="H120" s="14">
        <f t="shared" si="6"/>
        <v>1127</v>
      </c>
      <c r="I120" s="14">
        <f t="shared" si="7"/>
        <v>2</v>
      </c>
      <c r="K120" s="5"/>
      <c r="L120" s="5"/>
      <c r="N120" s="5"/>
    </row>
    <row r="121" spans="2:14" x14ac:dyDescent="0.25">
      <c r="B121" s="14">
        <v>117</v>
      </c>
      <c r="C121" s="14" t="s">
        <v>75</v>
      </c>
      <c r="D121" s="15" t="s">
        <v>36</v>
      </c>
      <c r="E121" s="15" t="s">
        <v>38</v>
      </c>
      <c r="F121" s="15">
        <f t="shared" si="4"/>
        <v>4.1666666666667629E-3</v>
      </c>
      <c r="G121" s="14">
        <f t="shared" si="5"/>
        <v>6.0000000000001386</v>
      </c>
      <c r="H121" s="14">
        <f t="shared" si="6"/>
        <v>1131</v>
      </c>
      <c r="I121" s="14">
        <f t="shared" si="7"/>
        <v>4</v>
      </c>
      <c r="K121" s="5"/>
      <c r="L121" s="5"/>
      <c r="N121" s="5"/>
    </row>
    <row r="122" spans="2:14" x14ac:dyDescent="0.25">
      <c r="B122" s="14">
        <v>118</v>
      </c>
      <c r="C122" s="14" t="s">
        <v>33</v>
      </c>
      <c r="D122" s="15" t="s">
        <v>38</v>
      </c>
      <c r="E122" s="15" t="s">
        <v>59</v>
      </c>
      <c r="F122" s="15">
        <f t="shared" si="4"/>
        <v>2.0833333333333259E-3</v>
      </c>
      <c r="G122" s="14">
        <f t="shared" si="5"/>
        <v>2.9999999999999893</v>
      </c>
      <c r="H122" s="14">
        <f t="shared" si="6"/>
        <v>1136</v>
      </c>
      <c r="I122" s="14">
        <f t="shared" si="7"/>
        <v>5</v>
      </c>
      <c r="K122" s="5"/>
      <c r="L122" s="5"/>
      <c r="N122" s="5"/>
    </row>
    <row r="123" spans="2:14" x14ac:dyDescent="0.25">
      <c r="B123" s="14">
        <v>119</v>
      </c>
      <c r="C123" s="14" t="s">
        <v>53</v>
      </c>
      <c r="D123" s="15" t="s">
        <v>59</v>
      </c>
      <c r="E123" s="15" t="s">
        <v>60</v>
      </c>
      <c r="F123" s="15">
        <f t="shared" si="4"/>
        <v>4.8611111111110938E-3</v>
      </c>
      <c r="G123" s="14">
        <f t="shared" si="5"/>
        <v>6.9999999999999751</v>
      </c>
      <c r="H123" s="14">
        <f t="shared" si="6"/>
        <v>1138</v>
      </c>
      <c r="I123" s="14">
        <f t="shared" si="7"/>
        <v>2</v>
      </c>
      <c r="K123" s="5"/>
      <c r="L123" s="5"/>
      <c r="N123" s="5"/>
    </row>
    <row r="124" spans="2:14" x14ac:dyDescent="0.25">
      <c r="B124" s="14">
        <v>120</v>
      </c>
      <c r="C124" s="14" t="s">
        <v>112</v>
      </c>
      <c r="D124" s="15" t="s">
        <v>112</v>
      </c>
      <c r="E124" s="15" t="s">
        <v>5</v>
      </c>
      <c r="F124" s="15">
        <f t="shared" si="4"/>
        <v>4.1666666666666519E-3</v>
      </c>
      <c r="G124" s="14">
        <f t="shared" si="5"/>
        <v>5.9999999999999787</v>
      </c>
      <c r="H124" s="14">
        <f t="shared" si="6"/>
        <v>1081</v>
      </c>
      <c r="I124" s="14"/>
      <c r="K124" s="5"/>
      <c r="L124" s="5"/>
      <c r="N124" s="5"/>
    </row>
    <row r="125" spans="2:14" x14ac:dyDescent="0.25">
      <c r="B125" s="14">
        <v>121</v>
      </c>
      <c r="C125" s="14" t="s">
        <v>87</v>
      </c>
      <c r="D125" s="15" t="s">
        <v>87</v>
      </c>
      <c r="E125" s="15" t="s">
        <v>25</v>
      </c>
      <c r="F125" s="15">
        <f t="shared" si="4"/>
        <v>5.5555555555555358E-3</v>
      </c>
      <c r="G125" s="14">
        <f t="shared" si="5"/>
        <v>7.9999999999999716</v>
      </c>
      <c r="H125" s="14">
        <f t="shared" si="6"/>
        <v>1094</v>
      </c>
      <c r="I125" s="14">
        <f t="shared" si="7"/>
        <v>13</v>
      </c>
      <c r="K125" s="5"/>
      <c r="L125" s="5"/>
      <c r="N125" s="5"/>
    </row>
    <row r="126" spans="2:14" x14ac:dyDescent="0.25">
      <c r="B126" s="14">
        <v>122</v>
      </c>
      <c r="C126" s="14" t="s">
        <v>11</v>
      </c>
      <c r="D126" s="15" t="s">
        <v>25</v>
      </c>
      <c r="E126" s="15" t="s">
        <v>15</v>
      </c>
      <c r="F126" s="15">
        <f t="shared" si="4"/>
        <v>3.4722222222223209E-3</v>
      </c>
      <c r="G126" s="14">
        <f t="shared" si="5"/>
        <v>5.0000000000001421</v>
      </c>
      <c r="H126" s="14">
        <f t="shared" si="6"/>
        <v>1100</v>
      </c>
      <c r="I126" s="14">
        <f t="shared" si="7"/>
        <v>6</v>
      </c>
      <c r="K126" s="5"/>
      <c r="L126" s="5"/>
      <c r="N126" s="5"/>
    </row>
    <row r="127" spans="2:14" x14ac:dyDescent="0.25">
      <c r="B127" s="14">
        <v>123</v>
      </c>
      <c r="C127" s="14" t="s">
        <v>12</v>
      </c>
      <c r="D127" s="15" t="s">
        <v>15</v>
      </c>
      <c r="E127" s="15" t="s">
        <v>17</v>
      </c>
      <c r="F127" s="15">
        <f t="shared" si="4"/>
        <v>2.0833333333333259E-3</v>
      </c>
      <c r="G127" s="14">
        <f t="shared" si="5"/>
        <v>2.9999999999999893</v>
      </c>
      <c r="H127" s="14">
        <f t="shared" si="6"/>
        <v>1103</v>
      </c>
      <c r="I127" s="14">
        <f t="shared" si="7"/>
        <v>3</v>
      </c>
      <c r="K127" s="5"/>
      <c r="L127" s="5"/>
      <c r="N127" s="5"/>
    </row>
    <row r="128" spans="2:14" x14ac:dyDescent="0.25">
      <c r="B128" s="14">
        <v>124</v>
      </c>
      <c r="C128" s="14" t="s">
        <v>15</v>
      </c>
      <c r="D128" s="15" t="s">
        <v>17</v>
      </c>
      <c r="E128" s="15" t="s">
        <v>18</v>
      </c>
      <c r="F128" s="15">
        <f t="shared" si="4"/>
        <v>5.5555555555555358E-3</v>
      </c>
      <c r="G128" s="14">
        <f t="shared" si="5"/>
        <v>7.9999999999999716</v>
      </c>
      <c r="H128" s="14">
        <f t="shared" si="6"/>
        <v>1107.0000000000002</v>
      </c>
      <c r="I128" s="14">
        <f t="shared" si="7"/>
        <v>4.0000000000002274</v>
      </c>
      <c r="K128" s="5"/>
      <c r="L128" s="5"/>
      <c r="N128" s="5"/>
    </row>
    <row r="129" spans="2:14" x14ac:dyDescent="0.25">
      <c r="B129" s="14">
        <v>125</v>
      </c>
      <c r="C129" s="14" t="s">
        <v>73</v>
      </c>
      <c r="D129" s="15" t="s">
        <v>18</v>
      </c>
      <c r="E129" s="15" t="s">
        <v>57</v>
      </c>
      <c r="F129" s="15">
        <f t="shared" si="4"/>
        <v>2.7777777777777679E-3</v>
      </c>
      <c r="G129" s="14">
        <f t="shared" si="5"/>
        <v>3.9999999999999858</v>
      </c>
      <c r="H129" s="14">
        <f t="shared" si="6"/>
        <v>1117</v>
      </c>
      <c r="I129" s="14">
        <f t="shared" si="7"/>
        <v>9.9999999999997726</v>
      </c>
      <c r="K129" s="5"/>
      <c r="L129" s="5"/>
      <c r="N129" s="5"/>
    </row>
    <row r="130" spans="2:14" x14ac:dyDescent="0.25">
      <c r="B130" s="14">
        <v>126</v>
      </c>
      <c r="C130" s="14" t="s">
        <v>19</v>
      </c>
      <c r="D130" s="15" t="s">
        <v>57</v>
      </c>
      <c r="E130" s="15" t="s">
        <v>51</v>
      </c>
      <c r="F130" s="15">
        <f t="shared" si="4"/>
        <v>4.8611111111110938E-3</v>
      </c>
      <c r="G130" s="14">
        <f t="shared" si="5"/>
        <v>6.9999999999999751</v>
      </c>
      <c r="H130" s="14">
        <f t="shared" si="6"/>
        <v>1120</v>
      </c>
      <c r="I130" s="14">
        <f t="shared" si="7"/>
        <v>3</v>
      </c>
      <c r="K130" s="5"/>
      <c r="L130" s="5"/>
      <c r="N130" s="5"/>
    </row>
    <row r="131" spans="2:14" x14ac:dyDescent="0.25">
      <c r="B131" s="14">
        <v>127</v>
      </c>
      <c r="C131" s="14" t="s">
        <v>51</v>
      </c>
      <c r="D131" s="15" t="s">
        <v>51</v>
      </c>
      <c r="E131" s="15" t="s">
        <v>32</v>
      </c>
      <c r="F131" s="15">
        <f t="shared" si="4"/>
        <v>2.0833333333333259E-3</v>
      </c>
      <c r="G131" s="14">
        <f t="shared" si="5"/>
        <v>2.9999999999999893</v>
      </c>
      <c r="H131" s="14">
        <f t="shared" si="6"/>
        <v>1129</v>
      </c>
      <c r="I131" s="14">
        <f t="shared" si="7"/>
        <v>9</v>
      </c>
      <c r="K131" s="5"/>
      <c r="L131" s="5"/>
      <c r="N131" s="5"/>
    </row>
    <row r="132" spans="2:14" x14ac:dyDescent="0.25">
      <c r="B132" s="14">
        <v>128</v>
      </c>
      <c r="C132" s="14" t="s">
        <v>75</v>
      </c>
      <c r="D132" s="15" t="s">
        <v>32</v>
      </c>
      <c r="E132" s="15" t="s">
        <v>114</v>
      </c>
      <c r="F132" s="15">
        <f t="shared" si="4"/>
        <v>5.5555555555555358E-3</v>
      </c>
      <c r="G132" s="14">
        <f t="shared" si="5"/>
        <v>7.9999999999999716</v>
      </c>
      <c r="H132" s="14">
        <f t="shared" si="6"/>
        <v>1131</v>
      </c>
      <c r="I132" s="14">
        <f t="shared" si="7"/>
        <v>2</v>
      </c>
      <c r="K132" s="5"/>
      <c r="L132" s="5"/>
      <c r="N132" s="5"/>
    </row>
    <row r="133" spans="2:14" x14ac:dyDescent="0.25">
      <c r="B133" s="14">
        <v>129</v>
      </c>
      <c r="C133" s="14" t="s">
        <v>52</v>
      </c>
      <c r="D133" s="15" t="s">
        <v>114</v>
      </c>
      <c r="E133" s="15" t="s">
        <v>37</v>
      </c>
      <c r="F133" s="15">
        <f t="shared" si="4"/>
        <v>4.8611111111110938E-3</v>
      </c>
      <c r="G133" s="14">
        <f t="shared" si="5"/>
        <v>6.9999999999999751</v>
      </c>
      <c r="H133" s="14">
        <f t="shared" si="6"/>
        <v>1133</v>
      </c>
      <c r="I133" s="14">
        <f t="shared" si="7"/>
        <v>2</v>
      </c>
      <c r="K133" s="5"/>
      <c r="L133" s="5"/>
      <c r="N133" s="5"/>
    </row>
    <row r="134" spans="2:14" x14ac:dyDescent="0.25">
      <c r="J134" s="5"/>
      <c r="K134" s="5"/>
      <c r="L134" s="5"/>
      <c r="N134" s="5"/>
    </row>
    <row r="135" spans="2:14" x14ac:dyDescent="0.25">
      <c r="J135" s="5"/>
      <c r="K135" s="5"/>
      <c r="L135" s="5"/>
      <c r="N135" s="5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D13F-BD88-421F-BB4E-842E8E6835A5}">
  <dimension ref="A1:N50"/>
  <sheetViews>
    <sheetView workbookViewId="0">
      <selection activeCell="I18" sqref="I18"/>
    </sheetView>
  </sheetViews>
  <sheetFormatPr defaultRowHeight="15" x14ac:dyDescent="0.25"/>
  <cols>
    <col min="2" max="2" width="14.140625" customWidth="1"/>
    <col min="3" max="3" width="15.28515625" customWidth="1"/>
    <col min="4" max="4" width="12.7109375" customWidth="1"/>
    <col min="5" max="5" width="13.85546875" customWidth="1"/>
  </cols>
  <sheetData>
    <row r="1" spans="1:13" x14ac:dyDescent="0.25">
      <c r="A1" t="s">
        <v>148</v>
      </c>
    </row>
    <row r="2" spans="1:13" x14ac:dyDescent="0.25">
      <c r="B2" s="3" t="s">
        <v>138</v>
      </c>
    </row>
    <row r="3" spans="1:13" x14ac:dyDescent="0.25">
      <c r="B3" t="s">
        <v>133</v>
      </c>
      <c r="G3" s="3" t="s">
        <v>162</v>
      </c>
      <c r="H3" s="3"/>
      <c r="I3" s="3"/>
      <c r="J3" s="3"/>
      <c r="K3" s="3" t="s">
        <v>169</v>
      </c>
      <c r="L3" s="3"/>
      <c r="M3" s="3"/>
    </row>
    <row r="4" spans="1:13" x14ac:dyDescent="0.25">
      <c r="B4" t="s">
        <v>132</v>
      </c>
      <c r="C4" t="s">
        <v>134</v>
      </c>
      <c r="D4" t="s">
        <v>135</v>
      </c>
      <c r="G4" t="s">
        <v>163</v>
      </c>
      <c r="H4">
        <f>(-1/0.373)*LN(1-0.2)</f>
        <v>0.59824008395230488</v>
      </c>
      <c r="K4" t="s">
        <v>170</v>
      </c>
      <c r="L4">
        <v>24.66</v>
      </c>
    </row>
    <row r="5" spans="1:13" x14ac:dyDescent="0.25">
      <c r="B5" t="s">
        <v>116</v>
      </c>
      <c r="G5" t="s">
        <v>164</v>
      </c>
      <c r="H5">
        <f>(-1/0.373)*LN(1-0.4)</f>
        <v>1.3695056937426024</v>
      </c>
      <c r="K5" t="s">
        <v>170</v>
      </c>
      <c r="L5">
        <v>25.37</v>
      </c>
    </row>
    <row r="6" spans="1:13" x14ac:dyDescent="0.25">
      <c r="B6" t="s">
        <v>161</v>
      </c>
      <c r="G6" t="s">
        <v>165</v>
      </c>
      <c r="H6">
        <f>(-1/0.373)*LN(1-0.6)</f>
        <v>2.4565435170888872</v>
      </c>
      <c r="K6" t="s">
        <v>170</v>
      </c>
      <c r="L6">
        <v>24.56</v>
      </c>
    </row>
    <row r="7" spans="1:13" x14ac:dyDescent="0.25">
      <c r="B7" t="s">
        <v>117</v>
      </c>
      <c r="G7" t="s">
        <v>166</v>
      </c>
      <c r="H7">
        <f>(-1/0.373)*LN(1-0.8)</f>
        <v>4.3148469502254709</v>
      </c>
      <c r="K7" t="s">
        <v>170</v>
      </c>
      <c r="L7">
        <v>23.67</v>
      </c>
    </row>
    <row r="8" spans="1:13" x14ac:dyDescent="0.25">
      <c r="B8" t="s">
        <v>118</v>
      </c>
      <c r="G8" t="s">
        <v>167</v>
      </c>
      <c r="H8" t="s">
        <v>168</v>
      </c>
      <c r="K8" t="s">
        <v>170</v>
      </c>
      <c r="L8">
        <v>24.73</v>
      </c>
    </row>
    <row r="11" spans="1:13" x14ac:dyDescent="0.25">
      <c r="B11" s="6" t="s">
        <v>121</v>
      </c>
      <c r="C11" s="6" t="s">
        <v>125</v>
      </c>
      <c r="D11" s="11" t="s">
        <v>126</v>
      </c>
      <c r="E11" s="11" t="s">
        <v>127</v>
      </c>
    </row>
    <row r="12" spans="1:13" x14ac:dyDescent="0.25">
      <c r="B12" s="9" t="s">
        <v>119</v>
      </c>
      <c r="C12" s="9">
        <v>15</v>
      </c>
      <c r="D12" s="7">
        <f>L4</f>
        <v>24.66</v>
      </c>
      <c r="E12" s="7">
        <f>(C12-D12)^2/D12</f>
        <v>3.7840875912408762</v>
      </c>
    </row>
    <row r="13" spans="1:13" x14ac:dyDescent="0.25">
      <c r="B13" s="9" t="s">
        <v>120</v>
      </c>
      <c r="C13" s="9">
        <v>29</v>
      </c>
      <c r="D13" s="7">
        <f>L5</f>
        <v>25.37</v>
      </c>
      <c r="E13" s="7">
        <f t="shared" ref="E13:E16" si="0">(C13-D13)^2/D13</f>
        <v>0.51938904217579784</v>
      </c>
    </row>
    <row r="14" spans="1:13" x14ac:dyDescent="0.25">
      <c r="B14" s="9" t="s">
        <v>122</v>
      </c>
      <c r="C14" s="9">
        <v>26</v>
      </c>
      <c r="D14" s="7">
        <f>L6</f>
        <v>24.56</v>
      </c>
      <c r="E14" s="7">
        <f t="shared" si="0"/>
        <v>8.4429967426710259E-2</v>
      </c>
    </row>
    <row r="15" spans="1:13" x14ac:dyDescent="0.25">
      <c r="B15" s="9" t="s">
        <v>123</v>
      </c>
      <c r="C15" s="9">
        <v>33</v>
      </c>
      <c r="D15" s="7">
        <f>L7</f>
        <v>23.67</v>
      </c>
      <c r="E15" s="7">
        <f t="shared" si="0"/>
        <v>3.6776045627376415</v>
      </c>
    </row>
    <row r="16" spans="1:13" x14ac:dyDescent="0.25">
      <c r="B16" s="10" t="s">
        <v>124</v>
      </c>
      <c r="C16" s="10">
        <v>20</v>
      </c>
      <c r="D16" s="8">
        <f>L8</f>
        <v>24.73</v>
      </c>
      <c r="E16" s="8">
        <f t="shared" si="0"/>
        <v>0.90468661544682594</v>
      </c>
    </row>
    <row r="18" spans="2:14" x14ac:dyDescent="0.25">
      <c r="B18" t="s">
        <v>131</v>
      </c>
      <c r="C18">
        <v>3</v>
      </c>
    </row>
    <row r="19" spans="2:14" x14ac:dyDescent="0.25">
      <c r="B19" t="s">
        <v>128</v>
      </c>
      <c r="C19">
        <v>123</v>
      </c>
    </row>
    <row r="20" spans="2:14" x14ac:dyDescent="0.25">
      <c r="B20" t="s">
        <v>129</v>
      </c>
      <c r="C20">
        <f>SUM(E12:E16)</f>
        <v>8.9701977790278509</v>
      </c>
    </row>
    <row r="21" spans="2:14" x14ac:dyDescent="0.25">
      <c r="B21" t="s">
        <v>130</v>
      </c>
      <c r="C21">
        <v>7.8150000000000004</v>
      </c>
    </row>
    <row r="23" spans="2:14" x14ac:dyDescent="0.25">
      <c r="B23" t="s">
        <v>136</v>
      </c>
    </row>
    <row r="24" spans="2:14" x14ac:dyDescent="0.25">
      <c r="B24" t="s">
        <v>171</v>
      </c>
    </row>
    <row r="27" spans="2:14" x14ac:dyDescent="0.25">
      <c r="B27" s="3" t="s">
        <v>137</v>
      </c>
    </row>
    <row r="28" spans="2:14" x14ac:dyDescent="0.25">
      <c r="B28" t="s">
        <v>140</v>
      </c>
      <c r="H28" s="3" t="s">
        <v>162</v>
      </c>
      <c r="I28" s="3"/>
      <c r="J28" s="3"/>
      <c r="K28" s="3"/>
      <c r="L28" s="3" t="s">
        <v>169</v>
      </c>
      <c r="M28" s="3"/>
      <c r="N28" s="3"/>
    </row>
    <row r="29" spans="2:14" x14ac:dyDescent="0.25">
      <c r="B29" t="s">
        <v>139</v>
      </c>
      <c r="D29" t="s">
        <v>135</v>
      </c>
      <c r="H29" t="s">
        <v>163</v>
      </c>
      <c r="I29">
        <f>(-1/0.256)*LN(1-0.2)</f>
        <v>0.87165449732113165</v>
      </c>
      <c r="L29" t="s">
        <v>170</v>
      </c>
      <c r="M29">
        <v>26.54</v>
      </c>
    </row>
    <row r="30" spans="2:14" x14ac:dyDescent="0.25">
      <c r="B30" t="s">
        <v>141</v>
      </c>
      <c r="H30" t="s">
        <v>164</v>
      </c>
      <c r="I30">
        <f>(-1/0.256)*LN(1-0.4)</f>
        <v>1.9954125928359012</v>
      </c>
      <c r="L30" t="s">
        <v>170</v>
      </c>
      <c r="M30">
        <v>25.14</v>
      </c>
    </row>
    <row r="31" spans="2:14" x14ac:dyDescent="0.25">
      <c r="B31" t="s">
        <v>142</v>
      </c>
      <c r="H31" t="s">
        <v>165</v>
      </c>
      <c r="I31">
        <f>(-1/0.256)*LN(1-0.6)</f>
        <v>3.5792606713834179</v>
      </c>
      <c r="L31" t="s">
        <v>170</v>
      </c>
      <c r="M31">
        <v>25.98</v>
      </c>
    </row>
    <row r="32" spans="2:14" x14ac:dyDescent="0.25">
      <c r="B32" t="s">
        <v>117</v>
      </c>
      <c r="H32" t="s">
        <v>166</v>
      </c>
      <c r="I32">
        <f>(-1/0.256)*LN(1-0.8)</f>
        <v>6.2868668454457053</v>
      </c>
      <c r="L32" t="s">
        <v>170</v>
      </c>
      <c r="M32">
        <v>25.61</v>
      </c>
    </row>
    <row r="33" spans="2:13" x14ac:dyDescent="0.25">
      <c r="B33" t="s">
        <v>118</v>
      </c>
      <c r="H33" t="s">
        <v>167</v>
      </c>
      <c r="I33" t="s">
        <v>168</v>
      </c>
      <c r="L33" t="s">
        <v>170</v>
      </c>
      <c r="M33">
        <v>25.71</v>
      </c>
    </row>
    <row r="36" spans="2:13" x14ac:dyDescent="0.25">
      <c r="B36" s="6" t="s">
        <v>121</v>
      </c>
      <c r="C36" s="6" t="s">
        <v>125</v>
      </c>
      <c r="D36" s="11" t="s">
        <v>126</v>
      </c>
      <c r="E36" s="11" t="s">
        <v>127</v>
      </c>
    </row>
    <row r="37" spans="2:13" x14ac:dyDescent="0.25">
      <c r="B37" s="9" t="s">
        <v>143</v>
      </c>
      <c r="C37" s="9">
        <v>0</v>
      </c>
      <c r="D37" s="7">
        <f>M29</f>
        <v>26.54</v>
      </c>
      <c r="E37" s="7">
        <f>(C37-D37)^2/D37</f>
        <v>26.54</v>
      </c>
    </row>
    <row r="38" spans="2:13" x14ac:dyDescent="0.25">
      <c r="B38" s="9" t="s">
        <v>144</v>
      </c>
      <c r="C38" s="9">
        <v>47</v>
      </c>
      <c r="D38" s="7">
        <f>M30</f>
        <v>25.14</v>
      </c>
      <c r="E38" s="7">
        <f t="shared" ref="E38:E41" si="1">(C38-D38)^2/D38</f>
        <v>19.00793953858393</v>
      </c>
    </row>
    <row r="39" spans="2:13" x14ac:dyDescent="0.25">
      <c r="B39" s="9" t="s">
        <v>145</v>
      </c>
      <c r="C39" s="9">
        <v>25</v>
      </c>
      <c r="D39" s="7">
        <f>M31</f>
        <v>25.98</v>
      </c>
      <c r="E39" s="7">
        <f t="shared" si="1"/>
        <v>3.6966897613548912E-2</v>
      </c>
    </row>
    <row r="40" spans="2:13" x14ac:dyDescent="0.25">
      <c r="B40" s="9" t="s">
        <v>146</v>
      </c>
      <c r="C40" s="9">
        <v>32</v>
      </c>
      <c r="D40" s="7">
        <f>M32</f>
        <v>25.61</v>
      </c>
      <c r="E40" s="7">
        <f t="shared" si="1"/>
        <v>1.5943811011323703</v>
      </c>
    </row>
    <row r="41" spans="2:13" x14ac:dyDescent="0.25">
      <c r="B41" s="10" t="s">
        <v>147</v>
      </c>
      <c r="C41" s="10">
        <v>25</v>
      </c>
      <c r="D41" s="8">
        <f>M33</f>
        <v>25.71</v>
      </c>
      <c r="E41" s="8">
        <f t="shared" si="1"/>
        <v>1.9607156748346993E-2</v>
      </c>
    </row>
    <row r="44" spans="2:13" x14ac:dyDescent="0.25">
      <c r="B44" t="s">
        <v>131</v>
      </c>
      <c r="C44">
        <v>3</v>
      </c>
    </row>
    <row r="45" spans="2:13" x14ac:dyDescent="0.25">
      <c r="B45" t="s">
        <v>128</v>
      </c>
      <c r="C45">
        <v>129</v>
      </c>
    </row>
    <row r="46" spans="2:13" x14ac:dyDescent="0.25">
      <c r="B46" t="s">
        <v>129</v>
      </c>
      <c r="C46">
        <f>SUM(E37:E41)</f>
        <v>47.198894694078199</v>
      </c>
    </row>
    <row r="47" spans="2:13" x14ac:dyDescent="0.25">
      <c r="B47" t="s">
        <v>130</v>
      </c>
      <c r="C47">
        <v>7.8150000000000004</v>
      </c>
    </row>
    <row r="49" spans="2:2" x14ac:dyDescent="0.25">
      <c r="B49" t="s">
        <v>136</v>
      </c>
    </row>
    <row r="50" spans="2:2" x14ac:dyDescent="0.25">
      <c r="B50" t="s">
        <v>172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F2E2-6116-44D5-ABD2-7E7B7E7A380B}">
  <dimension ref="E2:I32"/>
  <sheetViews>
    <sheetView workbookViewId="0">
      <selection activeCell="I32" sqref="I32"/>
    </sheetView>
  </sheetViews>
  <sheetFormatPr defaultRowHeight="15" x14ac:dyDescent="0.25"/>
  <cols>
    <col min="5" max="5" width="17.28515625" customWidth="1"/>
    <col min="6" max="6" width="11.42578125" customWidth="1"/>
    <col min="8" max="8" width="11.28515625" customWidth="1"/>
  </cols>
  <sheetData>
    <row r="2" spans="5:8" x14ac:dyDescent="0.25">
      <c r="E2" s="3" t="s">
        <v>193</v>
      </c>
    </row>
    <row r="3" spans="5:8" x14ac:dyDescent="0.25">
      <c r="G3" s="20" t="s">
        <v>190</v>
      </c>
      <c r="H3" s="20" t="s">
        <v>192</v>
      </c>
    </row>
    <row r="4" spans="5:8" x14ac:dyDescent="0.25">
      <c r="G4" s="14">
        <v>0</v>
      </c>
      <c r="H4" s="14">
        <v>15</v>
      </c>
    </row>
    <row r="5" spans="5:8" x14ac:dyDescent="0.25">
      <c r="G5" s="14">
        <v>1.625</v>
      </c>
      <c r="H5" s="14">
        <v>29</v>
      </c>
    </row>
    <row r="6" spans="5:8" x14ac:dyDescent="0.25">
      <c r="G6" s="14">
        <v>3.25</v>
      </c>
      <c r="H6" s="14">
        <v>49</v>
      </c>
    </row>
    <row r="7" spans="5:8" x14ac:dyDescent="0.25">
      <c r="G7" s="14">
        <v>4.875</v>
      </c>
      <c r="H7" s="14">
        <v>10</v>
      </c>
    </row>
    <row r="8" spans="5:8" x14ac:dyDescent="0.25">
      <c r="G8" s="14">
        <v>6.5</v>
      </c>
      <c r="H8" s="14">
        <v>12</v>
      </c>
    </row>
    <row r="9" spans="5:8" x14ac:dyDescent="0.25">
      <c r="G9" s="14">
        <v>8.125</v>
      </c>
      <c r="H9" s="14">
        <v>3</v>
      </c>
    </row>
    <row r="10" spans="5:8" x14ac:dyDescent="0.25">
      <c r="G10" s="14">
        <v>9.75</v>
      </c>
      <c r="H10" s="14">
        <v>2</v>
      </c>
    </row>
    <row r="11" spans="5:8" x14ac:dyDescent="0.25">
      <c r="G11" s="14">
        <v>11.375</v>
      </c>
      <c r="H11" s="14">
        <v>2</v>
      </c>
    </row>
    <row r="12" spans="5:8" x14ac:dyDescent="0.25">
      <c r="G12" s="14">
        <v>13</v>
      </c>
      <c r="H12" s="14">
        <v>1</v>
      </c>
    </row>
    <row r="13" spans="5:8" x14ac:dyDescent="0.25">
      <c r="G13" s="14" t="s">
        <v>191</v>
      </c>
      <c r="H13" s="14">
        <v>0</v>
      </c>
    </row>
    <row r="18" spans="5:9" x14ac:dyDescent="0.25">
      <c r="E18" s="3" t="s">
        <v>194</v>
      </c>
      <c r="F18" s="3"/>
    </row>
    <row r="20" spans="5:9" x14ac:dyDescent="0.25">
      <c r="G20" s="20" t="s">
        <v>190</v>
      </c>
      <c r="H20" s="20" t="s">
        <v>192</v>
      </c>
    </row>
    <row r="21" spans="5:9" x14ac:dyDescent="0.25">
      <c r="G21" s="14">
        <v>1</v>
      </c>
      <c r="H21" s="14">
        <v>26</v>
      </c>
    </row>
    <row r="22" spans="5:9" x14ac:dyDescent="0.25">
      <c r="G22" s="14">
        <v>3</v>
      </c>
      <c r="H22" s="14">
        <v>46</v>
      </c>
    </row>
    <row r="23" spans="5:9" x14ac:dyDescent="0.25">
      <c r="G23" s="14">
        <v>5</v>
      </c>
      <c r="H23" s="14">
        <v>23</v>
      </c>
    </row>
    <row r="24" spans="5:9" x14ac:dyDescent="0.25">
      <c r="G24" s="14">
        <v>7</v>
      </c>
      <c r="H24" s="14">
        <v>23</v>
      </c>
    </row>
    <row r="25" spans="5:9" x14ac:dyDescent="0.25">
      <c r="G25" s="14">
        <v>9</v>
      </c>
      <c r="H25" s="14">
        <v>6</v>
      </c>
    </row>
    <row r="26" spans="5:9" x14ac:dyDescent="0.25">
      <c r="G26" s="14">
        <v>11</v>
      </c>
      <c r="H26" s="14">
        <v>2</v>
      </c>
    </row>
    <row r="27" spans="5:9" x14ac:dyDescent="0.25">
      <c r="G27" s="14">
        <v>13</v>
      </c>
      <c r="H27" s="14">
        <v>1</v>
      </c>
    </row>
    <row r="28" spans="5:9" x14ac:dyDescent="0.25">
      <c r="G28" s="14">
        <v>15</v>
      </c>
      <c r="H28" s="14">
        <v>1</v>
      </c>
    </row>
    <row r="29" spans="5:9" x14ac:dyDescent="0.25">
      <c r="G29" s="14">
        <v>17</v>
      </c>
      <c r="H29" s="14">
        <v>1</v>
      </c>
    </row>
    <row r="30" spans="5:9" x14ac:dyDescent="0.25">
      <c r="G30" s="14" t="s">
        <v>191</v>
      </c>
      <c r="H30" s="14">
        <v>0</v>
      </c>
    </row>
    <row r="32" spans="5:9" x14ac:dyDescent="0.25">
      <c r="I32" s="18"/>
    </row>
  </sheetData>
  <sortState xmlns:xlrd2="http://schemas.microsoft.com/office/spreadsheetml/2017/richdata2" ref="G21:G29">
    <sortCondition ref="G2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3EBC-6D9D-4868-9C5A-C0F06CC374E9}">
  <dimension ref="A1:J135"/>
  <sheetViews>
    <sheetView workbookViewId="0">
      <selection activeCell="G9" sqref="G9"/>
    </sheetView>
  </sheetViews>
  <sheetFormatPr defaultRowHeight="15" x14ac:dyDescent="0.25"/>
  <cols>
    <col min="1" max="1" width="14.42578125" bestFit="1" customWidth="1"/>
    <col min="2" max="2" width="10.42578125" bestFit="1" customWidth="1"/>
    <col min="3" max="3" width="11.7109375" bestFit="1" customWidth="1"/>
    <col min="4" max="4" width="10" bestFit="1" customWidth="1"/>
    <col min="6" max="6" width="8.7109375" bestFit="1" customWidth="1"/>
    <col min="7" max="7" width="36.42578125" customWidth="1"/>
    <col min="8" max="8" width="17.7109375" customWidth="1"/>
    <col min="9" max="9" width="15.85546875" customWidth="1"/>
    <col min="10" max="10" width="16" customWidth="1"/>
  </cols>
  <sheetData>
    <row r="1" spans="1:10" ht="23.25" x14ac:dyDescent="0.35">
      <c r="G1" s="2" t="s">
        <v>64</v>
      </c>
    </row>
    <row r="2" spans="1:10" ht="18.75" x14ac:dyDescent="0.3">
      <c r="G2" t="s">
        <v>65</v>
      </c>
    </row>
    <row r="3" spans="1:10" x14ac:dyDescent="0.25">
      <c r="A3" s="3" t="s">
        <v>63</v>
      </c>
      <c r="B3" s="3"/>
    </row>
    <row r="4" spans="1:10" x14ac:dyDescent="0.25">
      <c r="B4" s="1" t="s">
        <v>44</v>
      </c>
      <c r="C4" s="1" t="s">
        <v>0</v>
      </c>
      <c r="D4" s="4" t="s">
        <v>1</v>
      </c>
      <c r="E4" s="4" t="s">
        <v>2</v>
      </c>
      <c r="F4" s="6" t="s">
        <v>115</v>
      </c>
      <c r="G4" s="6" t="s">
        <v>187</v>
      </c>
      <c r="H4" s="17" t="s">
        <v>189</v>
      </c>
      <c r="I4" s="6" t="s">
        <v>188</v>
      </c>
      <c r="J4" s="3"/>
    </row>
    <row r="5" spans="1:10" x14ac:dyDescent="0.25">
      <c r="B5" s="14">
        <v>1</v>
      </c>
      <c r="C5" s="15" t="s">
        <v>3</v>
      </c>
      <c r="D5" s="15" t="s">
        <v>3</v>
      </c>
      <c r="E5" s="15" t="s">
        <v>6</v>
      </c>
      <c r="F5" s="15">
        <f>E5-D5</f>
        <v>3.4722222222222099E-3</v>
      </c>
      <c r="G5" s="14">
        <f>F5*60*24</f>
        <v>4.9999999999999822</v>
      </c>
      <c r="H5" s="16">
        <f>C5*24*60</f>
        <v>1084</v>
      </c>
      <c r="I5" s="14"/>
    </row>
    <row r="6" spans="1:10" x14ac:dyDescent="0.25">
      <c r="B6" s="14">
        <v>2</v>
      </c>
      <c r="C6" s="15" t="s">
        <v>4</v>
      </c>
      <c r="D6" s="15" t="s">
        <v>6</v>
      </c>
      <c r="E6" s="15" t="s">
        <v>9</v>
      </c>
      <c r="F6" s="15">
        <f t="shared" ref="F6:F69" si="0">E6-D6</f>
        <v>6.2499999999999778E-3</v>
      </c>
      <c r="G6" s="14">
        <f t="shared" ref="G6:G69" si="1">F6*60*24</f>
        <v>8.999999999999968</v>
      </c>
      <c r="H6" s="16">
        <f t="shared" ref="H6:H69" si="2">C6*24*60</f>
        <v>1085</v>
      </c>
      <c r="I6" s="14">
        <f>H6-H5</f>
        <v>1</v>
      </c>
    </row>
    <row r="7" spans="1:10" x14ac:dyDescent="0.25">
      <c r="B7" s="14">
        <v>3</v>
      </c>
      <c r="C7" s="15" t="s">
        <v>5</v>
      </c>
      <c r="D7" s="15" t="s">
        <v>9</v>
      </c>
      <c r="E7" s="15" t="s">
        <v>24</v>
      </c>
      <c r="F7" s="15">
        <f t="shared" si="0"/>
        <v>2.0833333333333259E-3</v>
      </c>
      <c r="G7" s="14">
        <f t="shared" si="1"/>
        <v>2.9999999999999893</v>
      </c>
      <c r="H7" s="16">
        <f t="shared" si="2"/>
        <v>1087</v>
      </c>
      <c r="I7" s="14">
        <f t="shared" ref="I7:I70" si="3">H7-H6</f>
        <v>2</v>
      </c>
    </row>
    <row r="8" spans="1:10" x14ac:dyDescent="0.25">
      <c r="B8" s="14">
        <v>4</v>
      </c>
      <c r="C8" s="15" t="s">
        <v>5</v>
      </c>
      <c r="D8" s="15" t="s">
        <v>24</v>
      </c>
      <c r="E8" s="15" t="s">
        <v>25</v>
      </c>
      <c r="F8" s="15">
        <f t="shared" si="0"/>
        <v>6.9444444444444198E-4</v>
      </c>
      <c r="G8" s="14">
        <f t="shared" si="1"/>
        <v>0.99999999999999645</v>
      </c>
      <c r="H8" s="16">
        <f t="shared" si="2"/>
        <v>1087</v>
      </c>
      <c r="I8" s="14">
        <f t="shared" si="3"/>
        <v>0</v>
      </c>
    </row>
    <row r="9" spans="1:10" x14ac:dyDescent="0.25">
      <c r="B9" s="14">
        <v>5</v>
      </c>
      <c r="C9" s="15" t="s">
        <v>6</v>
      </c>
      <c r="D9" s="15" t="s">
        <v>25</v>
      </c>
      <c r="E9" s="15" t="s">
        <v>12</v>
      </c>
      <c r="F9" s="15">
        <f t="shared" si="0"/>
        <v>6.94444444444553E-4</v>
      </c>
      <c r="G9" s="14">
        <f t="shared" si="1"/>
        <v>1.0000000000001563</v>
      </c>
      <c r="H9" s="16">
        <f t="shared" si="2"/>
        <v>1089</v>
      </c>
      <c r="I9" s="14">
        <f t="shared" si="3"/>
        <v>2</v>
      </c>
    </row>
    <row r="10" spans="1:10" x14ac:dyDescent="0.25">
      <c r="B10" s="14">
        <v>6</v>
      </c>
      <c r="C10" s="15" t="s">
        <v>7</v>
      </c>
      <c r="D10" s="15" t="s">
        <v>12</v>
      </c>
      <c r="E10" s="15" t="s">
        <v>13</v>
      </c>
      <c r="F10" s="15">
        <f t="shared" si="0"/>
        <v>6.9444444444444198E-4</v>
      </c>
      <c r="G10" s="14">
        <f t="shared" si="1"/>
        <v>0.99999999999999645</v>
      </c>
      <c r="H10" s="16">
        <f t="shared" si="2"/>
        <v>1089.9999999999998</v>
      </c>
      <c r="I10" s="14">
        <f t="shared" si="3"/>
        <v>0.99999999999977263</v>
      </c>
    </row>
    <row r="11" spans="1:10" x14ac:dyDescent="0.25">
      <c r="B11" s="14">
        <v>7</v>
      </c>
      <c r="C11" s="15" t="s">
        <v>8</v>
      </c>
      <c r="D11" s="15" t="s">
        <v>13</v>
      </c>
      <c r="E11" s="15" t="s">
        <v>14</v>
      </c>
      <c r="F11" s="15">
        <f t="shared" si="0"/>
        <v>1.388888888888884E-3</v>
      </c>
      <c r="G11" s="14">
        <f t="shared" si="1"/>
        <v>1.9999999999999929</v>
      </c>
      <c r="H11" s="16">
        <f t="shared" si="2"/>
        <v>1092</v>
      </c>
      <c r="I11" s="14">
        <f t="shared" si="3"/>
        <v>2.0000000000002274</v>
      </c>
    </row>
    <row r="12" spans="1:10" x14ac:dyDescent="0.25">
      <c r="B12" s="14">
        <v>8</v>
      </c>
      <c r="C12" s="15" t="s">
        <v>8</v>
      </c>
      <c r="D12" s="15" t="s">
        <v>14</v>
      </c>
      <c r="E12" s="15" t="s">
        <v>16</v>
      </c>
      <c r="F12" s="15">
        <f t="shared" si="0"/>
        <v>1.388888888888884E-3</v>
      </c>
      <c r="G12" s="14">
        <f t="shared" si="1"/>
        <v>1.9999999999999929</v>
      </c>
      <c r="H12" s="16">
        <f t="shared" si="2"/>
        <v>1092</v>
      </c>
      <c r="I12" s="14">
        <f t="shared" si="3"/>
        <v>0</v>
      </c>
    </row>
    <row r="13" spans="1:10" x14ac:dyDescent="0.25">
      <c r="B13" s="14">
        <v>9</v>
      </c>
      <c r="C13" s="15" t="s">
        <v>9</v>
      </c>
      <c r="D13" s="15" t="s">
        <v>16</v>
      </c>
      <c r="E13" s="15" t="s">
        <v>17</v>
      </c>
      <c r="F13" s="15">
        <f t="shared" si="0"/>
        <v>1.388888888888884E-3</v>
      </c>
      <c r="G13" s="14">
        <f t="shared" si="1"/>
        <v>1.9999999999999929</v>
      </c>
      <c r="H13" s="16">
        <f t="shared" si="2"/>
        <v>1097.9999999999998</v>
      </c>
      <c r="I13" s="14">
        <f t="shared" si="3"/>
        <v>5.9999999999997726</v>
      </c>
    </row>
    <row r="14" spans="1:10" x14ac:dyDescent="0.25">
      <c r="B14" s="14">
        <v>10</v>
      </c>
      <c r="C14" s="15" t="s">
        <v>10</v>
      </c>
      <c r="D14" s="15" t="s">
        <v>17</v>
      </c>
      <c r="E14" s="15" t="s">
        <v>26</v>
      </c>
      <c r="F14" s="15">
        <f t="shared" si="0"/>
        <v>6.9444444444444198E-4</v>
      </c>
      <c r="G14" s="14">
        <f t="shared" si="1"/>
        <v>0.99999999999999645</v>
      </c>
      <c r="H14" s="16">
        <f t="shared" si="2"/>
        <v>1099</v>
      </c>
      <c r="I14" s="14">
        <f t="shared" si="3"/>
        <v>1.0000000000002274</v>
      </c>
    </row>
    <row r="15" spans="1:10" x14ac:dyDescent="0.25">
      <c r="B15" s="14">
        <v>11</v>
      </c>
      <c r="C15" s="15" t="s">
        <v>10</v>
      </c>
      <c r="D15" s="15" t="s">
        <v>26</v>
      </c>
      <c r="E15" s="15" t="s">
        <v>27</v>
      </c>
      <c r="F15" s="15">
        <f t="shared" si="0"/>
        <v>2.0833333333333259E-3</v>
      </c>
      <c r="G15" s="14">
        <f t="shared" si="1"/>
        <v>2.9999999999999893</v>
      </c>
      <c r="H15" s="16">
        <f t="shared" si="2"/>
        <v>1099</v>
      </c>
      <c r="I15" s="14">
        <f t="shared" si="3"/>
        <v>0</v>
      </c>
    </row>
    <row r="16" spans="1:10" x14ac:dyDescent="0.25">
      <c r="B16" s="14">
        <v>12</v>
      </c>
      <c r="C16" s="15" t="s">
        <v>11</v>
      </c>
      <c r="D16" s="15" t="s">
        <v>27</v>
      </c>
      <c r="E16" s="15" t="s">
        <v>28</v>
      </c>
      <c r="F16" s="15">
        <f t="shared" si="0"/>
        <v>3.4722222222222099E-3</v>
      </c>
      <c r="G16" s="14">
        <f t="shared" si="1"/>
        <v>4.9999999999999822</v>
      </c>
      <c r="H16" s="16">
        <f t="shared" si="2"/>
        <v>1100</v>
      </c>
      <c r="I16" s="14">
        <f t="shared" si="3"/>
        <v>1</v>
      </c>
    </row>
    <row r="17" spans="2:9" x14ac:dyDescent="0.25">
      <c r="B17" s="14">
        <v>13</v>
      </c>
      <c r="C17" s="15" t="s">
        <v>12</v>
      </c>
      <c r="D17" s="15" t="s">
        <v>28</v>
      </c>
      <c r="E17" s="15" t="s">
        <v>29</v>
      </c>
      <c r="F17" s="15">
        <f t="shared" si="0"/>
        <v>3.4722222222222099E-3</v>
      </c>
      <c r="G17" s="14">
        <f t="shared" si="1"/>
        <v>4.9999999999999822</v>
      </c>
      <c r="H17" s="16">
        <f t="shared" si="2"/>
        <v>1103</v>
      </c>
      <c r="I17" s="14">
        <f t="shared" si="3"/>
        <v>3</v>
      </c>
    </row>
    <row r="18" spans="2:9" x14ac:dyDescent="0.25">
      <c r="B18" s="14">
        <v>14</v>
      </c>
      <c r="C18" s="15" t="s">
        <v>12</v>
      </c>
      <c r="D18" s="15" t="s">
        <v>29</v>
      </c>
      <c r="E18" s="15" t="s">
        <v>30</v>
      </c>
      <c r="F18" s="15">
        <f t="shared" si="0"/>
        <v>6.9444444444444198E-4</v>
      </c>
      <c r="G18" s="14">
        <f t="shared" si="1"/>
        <v>0.99999999999999645</v>
      </c>
      <c r="H18" s="16">
        <f t="shared" si="2"/>
        <v>1103</v>
      </c>
      <c r="I18" s="14">
        <f t="shared" si="3"/>
        <v>0</v>
      </c>
    </row>
    <row r="19" spans="2:9" x14ac:dyDescent="0.25">
      <c r="B19" s="14">
        <v>15</v>
      </c>
      <c r="C19" s="15" t="s">
        <v>12</v>
      </c>
      <c r="D19" s="15" t="s">
        <v>30</v>
      </c>
      <c r="E19" s="15" t="s">
        <v>31</v>
      </c>
      <c r="F19" s="15">
        <f t="shared" si="0"/>
        <v>6.9444444444444198E-4</v>
      </c>
      <c r="G19" s="14">
        <f t="shared" si="1"/>
        <v>0.99999999999999645</v>
      </c>
      <c r="H19" s="16">
        <f t="shared" si="2"/>
        <v>1103</v>
      </c>
      <c r="I19" s="14">
        <f t="shared" si="3"/>
        <v>0</v>
      </c>
    </row>
    <row r="20" spans="2:9" x14ac:dyDescent="0.25">
      <c r="B20" s="14">
        <v>16</v>
      </c>
      <c r="C20" s="15" t="s">
        <v>13</v>
      </c>
      <c r="D20" s="15" t="s">
        <v>31</v>
      </c>
      <c r="E20" s="15" t="s">
        <v>32</v>
      </c>
      <c r="F20" s="15">
        <f t="shared" si="0"/>
        <v>4.1666666666666519E-3</v>
      </c>
      <c r="G20" s="14">
        <f t="shared" si="1"/>
        <v>5.9999999999999787</v>
      </c>
      <c r="H20" s="16">
        <f t="shared" si="2"/>
        <v>1104.0000000000002</v>
      </c>
      <c r="I20" s="14">
        <f t="shared" si="3"/>
        <v>1.0000000000002274</v>
      </c>
    </row>
    <row r="21" spans="2:9" x14ac:dyDescent="0.25">
      <c r="B21" s="14">
        <v>17</v>
      </c>
      <c r="C21" s="15" t="s">
        <v>14</v>
      </c>
      <c r="D21" s="15" t="s">
        <v>32</v>
      </c>
      <c r="E21" s="15" t="s">
        <v>33</v>
      </c>
      <c r="F21" s="15">
        <f t="shared" si="0"/>
        <v>2.7777777777777679E-3</v>
      </c>
      <c r="G21" s="14">
        <f t="shared" si="1"/>
        <v>3.9999999999999858</v>
      </c>
      <c r="H21" s="16">
        <f t="shared" si="2"/>
        <v>1106</v>
      </c>
      <c r="I21" s="14">
        <f t="shared" si="3"/>
        <v>1.9999999999997726</v>
      </c>
    </row>
    <row r="22" spans="2:9" x14ac:dyDescent="0.25">
      <c r="B22" s="14">
        <v>18</v>
      </c>
      <c r="C22" s="15" t="s">
        <v>15</v>
      </c>
      <c r="D22" s="15" t="s">
        <v>33</v>
      </c>
      <c r="E22" s="15" t="s">
        <v>34</v>
      </c>
      <c r="F22" s="15">
        <f t="shared" si="0"/>
        <v>6.9444444444444198E-4</v>
      </c>
      <c r="G22" s="14">
        <f t="shared" si="1"/>
        <v>0.99999999999999645</v>
      </c>
      <c r="H22" s="16">
        <f t="shared" si="2"/>
        <v>1107.0000000000002</v>
      </c>
      <c r="I22" s="14">
        <f t="shared" si="3"/>
        <v>1.0000000000002274</v>
      </c>
    </row>
    <row r="23" spans="2:9" x14ac:dyDescent="0.25">
      <c r="B23" s="14">
        <v>19</v>
      </c>
      <c r="C23" s="15" t="s">
        <v>16</v>
      </c>
      <c r="D23" s="15" t="s">
        <v>34</v>
      </c>
      <c r="E23" s="15" t="s">
        <v>35</v>
      </c>
      <c r="F23" s="15">
        <f t="shared" si="0"/>
        <v>1.388888888888884E-3</v>
      </c>
      <c r="G23" s="14">
        <f t="shared" si="1"/>
        <v>1.9999999999999929</v>
      </c>
      <c r="H23" s="16">
        <f t="shared" si="2"/>
        <v>1108</v>
      </c>
      <c r="I23" s="14">
        <f t="shared" si="3"/>
        <v>0.99999999999977263</v>
      </c>
    </row>
    <row r="24" spans="2:9" x14ac:dyDescent="0.25">
      <c r="B24" s="14">
        <v>20</v>
      </c>
      <c r="C24" s="15" t="s">
        <v>17</v>
      </c>
      <c r="D24" s="15" t="s">
        <v>35</v>
      </c>
      <c r="E24" s="15" t="s">
        <v>36</v>
      </c>
      <c r="F24" s="15">
        <f t="shared" si="0"/>
        <v>4.1666666666666519E-3</v>
      </c>
      <c r="G24" s="14">
        <f t="shared" si="1"/>
        <v>5.9999999999999787</v>
      </c>
      <c r="H24" s="16">
        <f t="shared" si="2"/>
        <v>1110</v>
      </c>
      <c r="I24" s="14">
        <f t="shared" si="3"/>
        <v>2</v>
      </c>
    </row>
    <row r="25" spans="2:9" x14ac:dyDescent="0.25">
      <c r="B25" s="14">
        <v>21</v>
      </c>
      <c r="C25" s="15" t="s">
        <v>18</v>
      </c>
      <c r="D25" s="15" t="s">
        <v>36</v>
      </c>
      <c r="E25" s="15" t="s">
        <v>37</v>
      </c>
      <c r="F25" s="15">
        <f t="shared" si="0"/>
        <v>1.388888888888884E-3</v>
      </c>
      <c r="G25" s="14">
        <f t="shared" si="1"/>
        <v>1.9999999999999929</v>
      </c>
      <c r="H25" s="16">
        <f t="shared" si="2"/>
        <v>1118</v>
      </c>
      <c r="I25" s="14">
        <f t="shared" si="3"/>
        <v>8</v>
      </c>
    </row>
    <row r="26" spans="2:9" x14ac:dyDescent="0.25">
      <c r="B26" s="14">
        <v>22</v>
      </c>
      <c r="C26" s="15" t="s">
        <v>19</v>
      </c>
      <c r="D26" s="15" t="s">
        <v>37</v>
      </c>
      <c r="E26" s="15" t="s">
        <v>38</v>
      </c>
      <c r="F26" s="15">
        <f t="shared" si="0"/>
        <v>2.7777777777778789E-3</v>
      </c>
      <c r="G26" s="14">
        <f t="shared" si="1"/>
        <v>4.0000000000001457</v>
      </c>
      <c r="H26" s="16">
        <f t="shared" si="2"/>
        <v>1120</v>
      </c>
      <c r="I26" s="14">
        <f t="shared" si="3"/>
        <v>2</v>
      </c>
    </row>
    <row r="27" spans="2:9" x14ac:dyDescent="0.25">
      <c r="B27" s="14">
        <v>23</v>
      </c>
      <c r="C27" s="15" t="s">
        <v>20</v>
      </c>
      <c r="D27" s="15" t="s">
        <v>38</v>
      </c>
      <c r="E27" s="15" t="s">
        <v>39</v>
      </c>
      <c r="F27" s="15">
        <f t="shared" si="0"/>
        <v>4.8611111111110938E-3</v>
      </c>
      <c r="G27" s="14">
        <f t="shared" si="1"/>
        <v>6.9999999999999751</v>
      </c>
      <c r="H27" s="16">
        <f t="shared" si="2"/>
        <v>1121</v>
      </c>
      <c r="I27" s="14">
        <f t="shared" si="3"/>
        <v>1</v>
      </c>
    </row>
    <row r="28" spans="2:9" x14ac:dyDescent="0.25">
      <c r="B28" s="14">
        <v>24</v>
      </c>
      <c r="C28" s="15" t="s">
        <v>21</v>
      </c>
      <c r="D28" s="15" t="s">
        <v>39</v>
      </c>
      <c r="E28" s="15" t="s">
        <v>40</v>
      </c>
      <c r="F28" s="15">
        <f t="shared" si="0"/>
        <v>3.4722222222222099E-3</v>
      </c>
      <c r="G28" s="14">
        <f t="shared" si="1"/>
        <v>4.9999999999999822</v>
      </c>
      <c r="H28" s="16">
        <f t="shared" si="2"/>
        <v>1123</v>
      </c>
      <c r="I28" s="14">
        <f t="shared" si="3"/>
        <v>2</v>
      </c>
    </row>
    <row r="29" spans="2:9" x14ac:dyDescent="0.25">
      <c r="B29" s="14">
        <v>25</v>
      </c>
      <c r="C29" s="15" t="s">
        <v>22</v>
      </c>
      <c r="D29" s="15" t="s">
        <v>40</v>
      </c>
      <c r="E29" s="15" t="s">
        <v>41</v>
      </c>
      <c r="F29" s="15">
        <f t="shared" si="0"/>
        <v>2.0833333333333259E-3</v>
      </c>
      <c r="G29" s="14">
        <f t="shared" si="1"/>
        <v>2.9999999999999893</v>
      </c>
      <c r="H29" s="16">
        <f t="shared" si="2"/>
        <v>1128</v>
      </c>
      <c r="I29" s="14">
        <f t="shared" si="3"/>
        <v>5</v>
      </c>
    </row>
    <row r="30" spans="2:9" x14ac:dyDescent="0.25">
      <c r="B30" s="14">
        <v>26</v>
      </c>
      <c r="C30" s="15" t="s">
        <v>22</v>
      </c>
      <c r="D30" s="15" t="s">
        <v>41</v>
      </c>
      <c r="E30" s="15" t="s">
        <v>42</v>
      </c>
      <c r="F30" s="15">
        <f t="shared" si="0"/>
        <v>2.0833333333333259E-3</v>
      </c>
      <c r="G30" s="14">
        <f t="shared" si="1"/>
        <v>2.9999999999999893</v>
      </c>
      <c r="H30" s="16">
        <f t="shared" si="2"/>
        <v>1128</v>
      </c>
      <c r="I30" s="14">
        <f t="shared" si="3"/>
        <v>0</v>
      </c>
    </row>
    <row r="31" spans="2:9" x14ac:dyDescent="0.25">
      <c r="B31" s="14">
        <v>27</v>
      </c>
      <c r="C31" s="15" t="s">
        <v>23</v>
      </c>
      <c r="D31" s="15" t="s">
        <v>42</v>
      </c>
      <c r="E31" s="15" t="s">
        <v>43</v>
      </c>
      <c r="F31" s="15">
        <f t="shared" si="0"/>
        <v>6.9444444444444198E-4</v>
      </c>
      <c r="G31" s="14">
        <f t="shared" si="1"/>
        <v>0.99999999999999645</v>
      </c>
      <c r="H31" s="16">
        <f t="shared" si="2"/>
        <v>1130</v>
      </c>
      <c r="I31" s="14">
        <f t="shared" si="3"/>
        <v>2</v>
      </c>
    </row>
    <row r="32" spans="2:9" x14ac:dyDescent="0.25">
      <c r="B32" s="14">
        <v>28</v>
      </c>
      <c r="C32" s="15" t="s">
        <v>4</v>
      </c>
      <c r="D32" s="15" t="s">
        <v>4</v>
      </c>
      <c r="E32" s="15" t="s">
        <v>46</v>
      </c>
      <c r="F32" s="15">
        <f t="shared" si="0"/>
        <v>4.1666666666666519E-3</v>
      </c>
      <c r="G32" s="14">
        <f t="shared" si="1"/>
        <v>5.9999999999999787</v>
      </c>
      <c r="H32" s="14">
        <f t="shared" si="2"/>
        <v>1085</v>
      </c>
      <c r="I32" s="18"/>
    </row>
    <row r="33" spans="2:9" x14ac:dyDescent="0.25">
      <c r="B33" s="14">
        <v>29</v>
      </c>
      <c r="C33" s="15" t="s">
        <v>7</v>
      </c>
      <c r="D33" s="15" t="s">
        <v>46</v>
      </c>
      <c r="E33" s="15" t="s">
        <v>68</v>
      </c>
      <c r="F33" s="15">
        <f t="shared" si="0"/>
        <v>1.388888888888884E-3</v>
      </c>
      <c r="G33" s="14">
        <f t="shared" si="1"/>
        <v>1.9999999999999929</v>
      </c>
      <c r="H33" s="14">
        <f t="shared" si="2"/>
        <v>1089.9999999999998</v>
      </c>
      <c r="I33" s="18">
        <f t="shared" si="3"/>
        <v>4.9999999999997726</v>
      </c>
    </row>
    <row r="34" spans="2:9" x14ac:dyDescent="0.25">
      <c r="B34" s="14">
        <v>30</v>
      </c>
      <c r="C34" s="15" t="s">
        <v>68</v>
      </c>
      <c r="D34" s="15" t="s">
        <v>68</v>
      </c>
      <c r="E34" s="15" t="s">
        <v>69</v>
      </c>
      <c r="F34" s="15">
        <f t="shared" si="0"/>
        <v>1.388888888888884E-3</v>
      </c>
      <c r="G34" s="14">
        <f t="shared" si="1"/>
        <v>1.9999999999999929</v>
      </c>
      <c r="H34" s="14">
        <f t="shared" si="2"/>
        <v>1093</v>
      </c>
      <c r="I34" s="16">
        <f t="shared" si="3"/>
        <v>3.0000000000002274</v>
      </c>
    </row>
    <row r="35" spans="2:9" x14ac:dyDescent="0.25">
      <c r="B35" s="14">
        <v>31</v>
      </c>
      <c r="C35" s="15" t="s">
        <v>70</v>
      </c>
      <c r="D35" s="15" t="s">
        <v>70</v>
      </c>
      <c r="E35" s="15" t="s">
        <v>13</v>
      </c>
      <c r="F35" s="15">
        <f t="shared" si="0"/>
        <v>4.8611111111112049E-3</v>
      </c>
      <c r="G35" s="14">
        <f t="shared" si="1"/>
        <v>7.000000000000135</v>
      </c>
      <c r="H35" s="14">
        <f t="shared" si="2"/>
        <v>1097</v>
      </c>
      <c r="I35" s="16">
        <f t="shared" si="3"/>
        <v>4</v>
      </c>
    </row>
    <row r="36" spans="2:9" x14ac:dyDescent="0.25">
      <c r="B36" s="14">
        <v>32</v>
      </c>
      <c r="C36" s="15" t="s">
        <v>10</v>
      </c>
      <c r="D36" s="15" t="s">
        <v>13</v>
      </c>
      <c r="E36" s="15" t="s">
        <v>15</v>
      </c>
      <c r="F36" s="15">
        <f t="shared" si="0"/>
        <v>2.0833333333333259E-3</v>
      </c>
      <c r="G36" s="14">
        <f t="shared" si="1"/>
        <v>2.9999999999999893</v>
      </c>
      <c r="H36" s="14">
        <f t="shared" si="2"/>
        <v>1099</v>
      </c>
      <c r="I36" s="16">
        <f t="shared" si="3"/>
        <v>2</v>
      </c>
    </row>
    <row r="37" spans="2:9" x14ac:dyDescent="0.25">
      <c r="B37" s="14">
        <v>33</v>
      </c>
      <c r="C37" s="15" t="s">
        <v>11</v>
      </c>
      <c r="D37" s="15" t="s">
        <v>15</v>
      </c>
      <c r="E37" s="15" t="s">
        <v>26</v>
      </c>
      <c r="F37" s="15">
        <f t="shared" si="0"/>
        <v>2.7777777777777679E-3</v>
      </c>
      <c r="G37" s="14">
        <f t="shared" si="1"/>
        <v>3.9999999999999858</v>
      </c>
      <c r="H37" s="14">
        <f t="shared" si="2"/>
        <v>1100</v>
      </c>
      <c r="I37" s="16">
        <f t="shared" si="3"/>
        <v>1</v>
      </c>
    </row>
    <row r="38" spans="2:9" x14ac:dyDescent="0.25">
      <c r="B38" s="14">
        <v>34</v>
      </c>
      <c r="C38" s="15" t="s">
        <v>12</v>
      </c>
      <c r="D38" s="15" t="s">
        <v>26</v>
      </c>
      <c r="E38" s="15" t="s">
        <v>78</v>
      </c>
      <c r="F38" s="15">
        <f t="shared" si="0"/>
        <v>6.9444444444444198E-4</v>
      </c>
      <c r="G38" s="14">
        <f t="shared" si="1"/>
        <v>0.99999999999999645</v>
      </c>
      <c r="H38" s="14">
        <f t="shared" si="2"/>
        <v>1103</v>
      </c>
      <c r="I38" s="16">
        <f t="shared" si="3"/>
        <v>3</v>
      </c>
    </row>
    <row r="39" spans="2:9" x14ac:dyDescent="0.25">
      <c r="B39" s="14">
        <v>35</v>
      </c>
      <c r="C39" s="15" t="s">
        <v>12</v>
      </c>
      <c r="D39" s="15" t="s">
        <v>78</v>
      </c>
      <c r="E39" s="15" t="s">
        <v>73</v>
      </c>
      <c r="F39" s="15">
        <f t="shared" si="0"/>
        <v>3.4722222222222099E-3</v>
      </c>
      <c r="G39" s="14">
        <f t="shared" si="1"/>
        <v>4.9999999999999822</v>
      </c>
      <c r="H39" s="14">
        <f t="shared" si="2"/>
        <v>1103</v>
      </c>
      <c r="I39" s="16">
        <f t="shared" si="3"/>
        <v>0</v>
      </c>
    </row>
    <row r="40" spans="2:9" x14ac:dyDescent="0.25">
      <c r="B40" s="14">
        <v>36</v>
      </c>
      <c r="C40" s="15" t="s">
        <v>71</v>
      </c>
      <c r="D40" s="15" t="s">
        <v>73</v>
      </c>
      <c r="E40" s="15" t="s">
        <v>18</v>
      </c>
      <c r="F40" s="15">
        <f t="shared" si="0"/>
        <v>6.9444444444444198E-4</v>
      </c>
      <c r="G40" s="14">
        <f t="shared" si="1"/>
        <v>0.99999999999999645</v>
      </c>
      <c r="H40" s="14">
        <f t="shared" si="2"/>
        <v>1105</v>
      </c>
      <c r="I40" s="16">
        <f t="shared" si="3"/>
        <v>2</v>
      </c>
    </row>
    <row r="41" spans="2:9" x14ac:dyDescent="0.25">
      <c r="B41" s="14">
        <v>37</v>
      </c>
      <c r="C41" s="15" t="s">
        <v>71</v>
      </c>
      <c r="D41" s="15" t="s">
        <v>18</v>
      </c>
      <c r="E41" s="15" t="s">
        <v>30</v>
      </c>
      <c r="F41" s="15">
        <f t="shared" si="0"/>
        <v>4.8611111111110938E-3</v>
      </c>
      <c r="G41" s="14">
        <f t="shared" si="1"/>
        <v>6.9999999999999751</v>
      </c>
      <c r="H41" s="14">
        <f t="shared" si="2"/>
        <v>1105</v>
      </c>
      <c r="I41" s="16">
        <f t="shared" si="3"/>
        <v>0</v>
      </c>
    </row>
    <row r="42" spans="2:9" x14ac:dyDescent="0.25">
      <c r="B42" s="14">
        <v>38</v>
      </c>
      <c r="C42" s="15" t="s">
        <v>16</v>
      </c>
      <c r="D42" s="15" t="s">
        <v>30</v>
      </c>
      <c r="E42" s="15" t="s">
        <v>31</v>
      </c>
      <c r="F42" s="15">
        <f t="shared" si="0"/>
        <v>6.9444444444444198E-4</v>
      </c>
      <c r="G42" s="14">
        <f t="shared" si="1"/>
        <v>0.99999999999999645</v>
      </c>
      <c r="H42" s="14">
        <f t="shared" si="2"/>
        <v>1108</v>
      </c>
      <c r="I42" s="16">
        <f t="shared" si="3"/>
        <v>3</v>
      </c>
    </row>
    <row r="43" spans="2:9" x14ac:dyDescent="0.25">
      <c r="B43" s="14">
        <v>39</v>
      </c>
      <c r="C43" s="15" t="s">
        <v>16</v>
      </c>
      <c r="D43" s="15" t="s">
        <v>31</v>
      </c>
      <c r="E43" s="15" t="s">
        <v>51</v>
      </c>
      <c r="F43" s="15">
        <f t="shared" si="0"/>
        <v>2.0833333333333259E-3</v>
      </c>
      <c r="G43" s="14">
        <f t="shared" si="1"/>
        <v>2.9999999999999893</v>
      </c>
      <c r="H43" s="14">
        <f t="shared" si="2"/>
        <v>1108</v>
      </c>
      <c r="I43" s="16">
        <f t="shared" si="3"/>
        <v>0</v>
      </c>
    </row>
    <row r="44" spans="2:9" x14ac:dyDescent="0.25">
      <c r="B44" s="14">
        <v>40</v>
      </c>
      <c r="C44" s="15" t="s">
        <v>17</v>
      </c>
      <c r="D44" s="15" t="s">
        <v>51</v>
      </c>
      <c r="E44" s="15" t="s">
        <v>23</v>
      </c>
      <c r="F44" s="15">
        <f t="shared" si="0"/>
        <v>6.9444444444444198E-4</v>
      </c>
      <c r="G44" s="14">
        <f t="shared" si="1"/>
        <v>0.99999999999999645</v>
      </c>
      <c r="H44" s="14">
        <f t="shared" si="2"/>
        <v>1110</v>
      </c>
      <c r="I44" s="16">
        <f t="shared" si="3"/>
        <v>2</v>
      </c>
    </row>
    <row r="45" spans="2:9" x14ac:dyDescent="0.25">
      <c r="B45" s="14">
        <v>41</v>
      </c>
      <c r="C45" s="15" t="s">
        <v>26</v>
      </c>
      <c r="D45" s="15" t="s">
        <v>23</v>
      </c>
      <c r="E45" s="15" t="s">
        <v>79</v>
      </c>
      <c r="F45" s="15">
        <f t="shared" si="0"/>
        <v>2.7777777777777679E-3</v>
      </c>
      <c r="G45" s="14">
        <f t="shared" si="1"/>
        <v>3.9999999999999858</v>
      </c>
      <c r="H45" s="14">
        <f t="shared" si="2"/>
        <v>1111</v>
      </c>
      <c r="I45" s="16">
        <f t="shared" si="3"/>
        <v>1</v>
      </c>
    </row>
    <row r="46" spans="2:9" x14ac:dyDescent="0.25">
      <c r="B46" s="14">
        <v>42</v>
      </c>
      <c r="C46" s="15" t="s">
        <v>72</v>
      </c>
      <c r="D46" s="15" t="s">
        <v>79</v>
      </c>
      <c r="E46" s="15" t="s">
        <v>34</v>
      </c>
      <c r="F46" s="15">
        <f t="shared" si="0"/>
        <v>2.0833333333333259E-3</v>
      </c>
      <c r="G46" s="14">
        <f t="shared" si="1"/>
        <v>2.9999999999999893</v>
      </c>
      <c r="H46" s="14">
        <f t="shared" si="2"/>
        <v>1116</v>
      </c>
      <c r="I46" s="16">
        <f t="shared" si="3"/>
        <v>5</v>
      </c>
    </row>
    <row r="47" spans="2:9" x14ac:dyDescent="0.25">
      <c r="B47" s="14">
        <v>43</v>
      </c>
      <c r="C47" s="15" t="s">
        <v>73</v>
      </c>
      <c r="D47" s="15" t="s">
        <v>34</v>
      </c>
      <c r="E47" s="15" t="s">
        <v>36</v>
      </c>
      <c r="F47" s="15">
        <f t="shared" si="0"/>
        <v>5.5555555555555358E-3</v>
      </c>
      <c r="G47" s="14">
        <f t="shared" si="1"/>
        <v>7.9999999999999716</v>
      </c>
      <c r="H47" s="14">
        <f t="shared" si="2"/>
        <v>1117</v>
      </c>
      <c r="I47" s="16">
        <f t="shared" si="3"/>
        <v>1</v>
      </c>
    </row>
    <row r="48" spans="2:9" x14ac:dyDescent="0.25">
      <c r="B48" s="14">
        <v>44</v>
      </c>
      <c r="C48" s="15" t="s">
        <v>20</v>
      </c>
      <c r="D48" s="15" t="s">
        <v>36</v>
      </c>
      <c r="E48" s="15" t="s">
        <v>80</v>
      </c>
      <c r="F48" s="15">
        <f t="shared" si="0"/>
        <v>6.9444444444444198E-4</v>
      </c>
      <c r="G48" s="14">
        <f t="shared" si="1"/>
        <v>0.99999999999999645</v>
      </c>
      <c r="H48" s="14">
        <f t="shared" si="2"/>
        <v>1121</v>
      </c>
      <c r="I48" s="16">
        <f t="shared" si="3"/>
        <v>4</v>
      </c>
    </row>
    <row r="49" spans="2:9" x14ac:dyDescent="0.25">
      <c r="B49" s="14">
        <v>45</v>
      </c>
      <c r="C49" s="15" t="s">
        <v>20</v>
      </c>
      <c r="D49" s="15" t="s">
        <v>80</v>
      </c>
      <c r="E49" s="15" t="s">
        <v>81</v>
      </c>
      <c r="F49" s="15">
        <f t="shared" si="0"/>
        <v>1.388888888888995E-3</v>
      </c>
      <c r="G49" s="14">
        <f t="shared" si="1"/>
        <v>2.0000000000001528</v>
      </c>
      <c r="H49" s="14">
        <f t="shared" si="2"/>
        <v>1121</v>
      </c>
      <c r="I49" s="16">
        <f t="shared" si="3"/>
        <v>0</v>
      </c>
    </row>
    <row r="50" spans="2:9" x14ac:dyDescent="0.25">
      <c r="B50" s="14">
        <v>46</v>
      </c>
      <c r="C50" s="15" t="s">
        <v>21</v>
      </c>
      <c r="D50" s="15" t="s">
        <v>81</v>
      </c>
      <c r="E50" s="15" t="s">
        <v>82</v>
      </c>
      <c r="F50" s="15">
        <f t="shared" si="0"/>
        <v>2.7777777777777679E-3</v>
      </c>
      <c r="G50" s="14">
        <f t="shared" si="1"/>
        <v>3.9999999999999858</v>
      </c>
      <c r="H50" s="14">
        <f t="shared" si="2"/>
        <v>1123</v>
      </c>
      <c r="I50" s="16">
        <f t="shared" si="3"/>
        <v>2</v>
      </c>
    </row>
    <row r="51" spans="2:9" x14ac:dyDescent="0.25">
      <c r="B51" s="14">
        <v>47</v>
      </c>
      <c r="C51" s="15" t="s">
        <v>21</v>
      </c>
      <c r="D51" s="15" t="s">
        <v>82</v>
      </c>
      <c r="E51" s="15" t="s">
        <v>59</v>
      </c>
      <c r="F51" s="15">
        <f t="shared" si="0"/>
        <v>1.388888888888884E-3</v>
      </c>
      <c r="G51" s="14">
        <f t="shared" si="1"/>
        <v>1.9999999999999929</v>
      </c>
      <c r="H51" s="14">
        <f t="shared" si="2"/>
        <v>1123</v>
      </c>
      <c r="I51" s="16">
        <f t="shared" si="3"/>
        <v>0</v>
      </c>
    </row>
    <row r="52" spans="2:9" x14ac:dyDescent="0.25">
      <c r="B52" s="14">
        <v>48</v>
      </c>
      <c r="C52" s="15" t="s">
        <v>29</v>
      </c>
      <c r="D52" s="15" t="s">
        <v>59</v>
      </c>
      <c r="E52" s="15" t="s">
        <v>83</v>
      </c>
      <c r="F52" s="15">
        <f t="shared" si="0"/>
        <v>3.4722222222222099E-3</v>
      </c>
      <c r="G52" s="14">
        <f t="shared" si="1"/>
        <v>4.9999999999999822</v>
      </c>
      <c r="H52" s="14">
        <f t="shared" si="2"/>
        <v>1124</v>
      </c>
      <c r="I52" s="16">
        <f t="shared" si="3"/>
        <v>1</v>
      </c>
    </row>
    <row r="53" spans="2:9" x14ac:dyDescent="0.25">
      <c r="B53" s="14">
        <v>49</v>
      </c>
      <c r="C53" s="15" t="s">
        <v>23</v>
      </c>
      <c r="D53" s="15" t="s">
        <v>83</v>
      </c>
      <c r="E53" s="15" t="s">
        <v>84</v>
      </c>
      <c r="F53" s="15">
        <f t="shared" si="0"/>
        <v>2.0833333333333259E-3</v>
      </c>
      <c r="G53" s="14">
        <f t="shared" si="1"/>
        <v>2.9999999999999893</v>
      </c>
      <c r="H53" s="14">
        <f t="shared" si="2"/>
        <v>1130</v>
      </c>
      <c r="I53" s="16">
        <f t="shared" si="3"/>
        <v>6</v>
      </c>
    </row>
    <row r="54" spans="2:9" x14ac:dyDescent="0.25">
      <c r="B54" s="14">
        <v>50</v>
      </c>
      <c r="C54" s="15" t="s">
        <v>75</v>
      </c>
      <c r="D54" s="15" t="s">
        <v>84</v>
      </c>
      <c r="E54" s="15" t="s">
        <v>41</v>
      </c>
      <c r="F54" s="15">
        <f t="shared" si="0"/>
        <v>2.7777777777777679E-3</v>
      </c>
      <c r="G54" s="14">
        <f t="shared" si="1"/>
        <v>3.9999999999999858</v>
      </c>
      <c r="H54" s="14">
        <f t="shared" si="2"/>
        <v>1131</v>
      </c>
      <c r="I54" s="16">
        <f t="shared" si="3"/>
        <v>1</v>
      </c>
    </row>
    <row r="55" spans="2:9" x14ac:dyDescent="0.25">
      <c r="B55" s="14">
        <v>51</v>
      </c>
      <c r="C55" s="15" t="s">
        <v>33</v>
      </c>
      <c r="D55" s="15" t="s">
        <v>41</v>
      </c>
      <c r="E55" s="15" t="s">
        <v>61</v>
      </c>
      <c r="F55" s="15">
        <f t="shared" si="0"/>
        <v>1.388888888888884E-3</v>
      </c>
      <c r="G55" s="14">
        <f t="shared" si="1"/>
        <v>1.9999999999999929</v>
      </c>
      <c r="H55" s="14">
        <f t="shared" si="2"/>
        <v>1136</v>
      </c>
      <c r="I55" s="16">
        <f t="shared" si="3"/>
        <v>5</v>
      </c>
    </row>
    <row r="56" spans="2:9" x14ac:dyDescent="0.25">
      <c r="B56" s="14">
        <v>52</v>
      </c>
      <c r="C56" s="15" t="s">
        <v>45</v>
      </c>
      <c r="D56" s="15" t="s">
        <v>45</v>
      </c>
      <c r="E56" s="15" t="s">
        <v>85</v>
      </c>
      <c r="F56" s="15">
        <f t="shared" si="0"/>
        <v>1.388888888888884E-3</v>
      </c>
      <c r="G56" s="14">
        <f t="shared" si="1"/>
        <v>1.9999999999999929</v>
      </c>
      <c r="H56" s="14">
        <f t="shared" si="2"/>
        <v>1080</v>
      </c>
      <c r="I56" s="16"/>
    </row>
    <row r="57" spans="2:9" x14ac:dyDescent="0.25">
      <c r="B57" s="14">
        <v>53</v>
      </c>
      <c r="C57" s="15" t="s">
        <v>85</v>
      </c>
      <c r="D57" s="15" t="s">
        <v>85</v>
      </c>
      <c r="E57" s="15" t="s">
        <v>47</v>
      </c>
      <c r="F57" s="15">
        <f t="shared" si="0"/>
        <v>2.7777777777777679E-3</v>
      </c>
      <c r="G57" s="14">
        <f t="shared" si="1"/>
        <v>3.9999999999999858</v>
      </c>
      <c r="H57" s="14">
        <f t="shared" si="2"/>
        <v>1082</v>
      </c>
      <c r="I57" s="16">
        <f t="shared" si="3"/>
        <v>2</v>
      </c>
    </row>
    <row r="58" spans="2:9" x14ac:dyDescent="0.25">
      <c r="B58" s="14">
        <v>54</v>
      </c>
      <c r="C58" s="15" t="s">
        <v>4</v>
      </c>
      <c r="D58" s="15" t="s">
        <v>47</v>
      </c>
      <c r="E58" s="15" t="s">
        <v>5</v>
      </c>
      <c r="F58" s="15">
        <f t="shared" si="0"/>
        <v>6.9444444444444198E-4</v>
      </c>
      <c r="G58" s="14">
        <f t="shared" si="1"/>
        <v>0.99999999999999645</v>
      </c>
      <c r="H58" s="14">
        <f t="shared" si="2"/>
        <v>1085</v>
      </c>
      <c r="I58" s="16">
        <f t="shared" si="3"/>
        <v>3</v>
      </c>
    </row>
    <row r="59" spans="2:9" x14ac:dyDescent="0.25">
      <c r="B59" s="14">
        <v>55</v>
      </c>
      <c r="C59" s="15" t="s">
        <v>5</v>
      </c>
      <c r="D59" s="15" t="s">
        <v>5</v>
      </c>
      <c r="E59" s="15" t="s">
        <v>86</v>
      </c>
      <c r="F59" s="15">
        <f t="shared" si="0"/>
        <v>6.9444444444444198E-4</v>
      </c>
      <c r="G59" s="14">
        <f t="shared" si="1"/>
        <v>0.99999999999999645</v>
      </c>
      <c r="H59" s="14">
        <f t="shared" si="2"/>
        <v>1087</v>
      </c>
      <c r="I59" s="16">
        <f t="shared" si="3"/>
        <v>2</v>
      </c>
    </row>
    <row r="60" spans="2:9" x14ac:dyDescent="0.25">
      <c r="B60" s="14">
        <v>56</v>
      </c>
      <c r="C60" s="15" t="s">
        <v>5</v>
      </c>
      <c r="D60" s="15" t="s">
        <v>86</v>
      </c>
      <c r="E60" s="15" t="s">
        <v>6</v>
      </c>
      <c r="F60" s="15">
        <f t="shared" si="0"/>
        <v>6.9444444444444198E-4</v>
      </c>
      <c r="G60" s="14">
        <f t="shared" si="1"/>
        <v>0.99999999999999645</v>
      </c>
      <c r="H60" s="14">
        <f t="shared" si="2"/>
        <v>1087</v>
      </c>
      <c r="I60" s="16">
        <f t="shared" si="3"/>
        <v>0</v>
      </c>
    </row>
    <row r="61" spans="2:9" x14ac:dyDescent="0.25">
      <c r="B61" s="14">
        <v>57</v>
      </c>
      <c r="C61" s="15" t="s">
        <v>86</v>
      </c>
      <c r="D61" s="15" t="s">
        <v>6</v>
      </c>
      <c r="E61" s="15" t="s">
        <v>68</v>
      </c>
      <c r="F61" s="15">
        <f t="shared" si="0"/>
        <v>2.7777777777777679E-3</v>
      </c>
      <c r="G61" s="14">
        <f t="shared" si="1"/>
        <v>3.9999999999999858</v>
      </c>
      <c r="H61" s="14">
        <f t="shared" si="2"/>
        <v>1088</v>
      </c>
      <c r="I61" s="16">
        <f t="shared" si="3"/>
        <v>1</v>
      </c>
    </row>
    <row r="62" spans="2:9" x14ac:dyDescent="0.25">
      <c r="B62" s="14">
        <v>58</v>
      </c>
      <c r="C62" s="15" t="s">
        <v>86</v>
      </c>
      <c r="D62" s="15" t="s">
        <v>68</v>
      </c>
      <c r="E62" s="15" t="s">
        <v>69</v>
      </c>
      <c r="F62" s="15">
        <f t="shared" si="0"/>
        <v>1.388888888888884E-3</v>
      </c>
      <c r="G62" s="14">
        <f t="shared" si="1"/>
        <v>1.9999999999999929</v>
      </c>
      <c r="H62" s="14">
        <f t="shared" si="2"/>
        <v>1088</v>
      </c>
      <c r="I62" s="16">
        <f t="shared" si="3"/>
        <v>0</v>
      </c>
    </row>
    <row r="63" spans="2:9" x14ac:dyDescent="0.25">
      <c r="B63" s="14">
        <v>59</v>
      </c>
      <c r="C63" s="15" t="s">
        <v>6</v>
      </c>
      <c r="D63" s="15" t="s">
        <v>69</v>
      </c>
      <c r="E63" s="15" t="s">
        <v>11</v>
      </c>
      <c r="F63" s="15">
        <f t="shared" si="0"/>
        <v>3.4722222222222099E-3</v>
      </c>
      <c r="G63" s="14">
        <f t="shared" si="1"/>
        <v>4.9999999999999822</v>
      </c>
      <c r="H63" s="14">
        <f t="shared" si="2"/>
        <v>1089</v>
      </c>
      <c r="I63" s="16">
        <f t="shared" si="3"/>
        <v>1</v>
      </c>
    </row>
    <row r="64" spans="2:9" x14ac:dyDescent="0.25">
      <c r="B64" s="14">
        <v>60</v>
      </c>
      <c r="C64" s="15" t="s">
        <v>6</v>
      </c>
      <c r="D64" s="15" t="s">
        <v>11</v>
      </c>
      <c r="E64" s="15" t="s">
        <v>24</v>
      </c>
      <c r="F64" s="15">
        <f t="shared" si="0"/>
        <v>6.9444444444444198E-4</v>
      </c>
      <c r="G64" s="14">
        <f t="shared" si="1"/>
        <v>0.99999999999999645</v>
      </c>
      <c r="H64" s="14">
        <f t="shared" si="2"/>
        <v>1089</v>
      </c>
      <c r="I64" s="16">
        <f t="shared" si="3"/>
        <v>0</v>
      </c>
    </row>
    <row r="65" spans="2:9" x14ac:dyDescent="0.25">
      <c r="B65" s="14">
        <v>61</v>
      </c>
      <c r="C65" s="15" t="s">
        <v>7</v>
      </c>
      <c r="D65" s="15" t="s">
        <v>24</v>
      </c>
      <c r="E65" s="15" t="s">
        <v>13</v>
      </c>
      <c r="F65" s="15">
        <f t="shared" si="0"/>
        <v>2.083333333333437E-3</v>
      </c>
      <c r="G65" s="14">
        <f t="shared" si="1"/>
        <v>3.0000000000001492</v>
      </c>
      <c r="H65" s="14">
        <f t="shared" si="2"/>
        <v>1089.9999999999998</v>
      </c>
      <c r="I65" s="16">
        <f t="shared" si="3"/>
        <v>0.99999999999977263</v>
      </c>
    </row>
    <row r="66" spans="2:9" x14ac:dyDescent="0.25">
      <c r="B66" s="14">
        <v>62</v>
      </c>
      <c r="C66" s="15" t="s">
        <v>7</v>
      </c>
      <c r="D66" s="15" t="s">
        <v>13</v>
      </c>
      <c r="E66" s="15" t="s">
        <v>16</v>
      </c>
      <c r="F66" s="15">
        <f t="shared" si="0"/>
        <v>2.7777777777777679E-3</v>
      </c>
      <c r="G66" s="14">
        <f t="shared" si="1"/>
        <v>3.9999999999999858</v>
      </c>
      <c r="H66" s="14">
        <f t="shared" si="2"/>
        <v>1089.9999999999998</v>
      </c>
      <c r="I66" s="16">
        <f t="shared" si="3"/>
        <v>0</v>
      </c>
    </row>
    <row r="67" spans="2:9" x14ac:dyDescent="0.25">
      <c r="B67" s="14">
        <v>63</v>
      </c>
      <c r="C67" s="15" t="s">
        <v>46</v>
      </c>
      <c r="D67" s="15" t="s">
        <v>16</v>
      </c>
      <c r="E67" s="15" t="s">
        <v>26</v>
      </c>
      <c r="F67" s="15">
        <f t="shared" si="0"/>
        <v>2.0833333333333259E-3</v>
      </c>
      <c r="G67" s="14">
        <f t="shared" si="1"/>
        <v>2.9999999999999893</v>
      </c>
      <c r="H67" s="14">
        <f t="shared" si="2"/>
        <v>1091</v>
      </c>
      <c r="I67" s="16">
        <f t="shared" si="3"/>
        <v>1.0000000000002274</v>
      </c>
    </row>
    <row r="68" spans="2:9" x14ac:dyDescent="0.25">
      <c r="B68" s="14">
        <v>64</v>
      </c>
      <c r="C68" s="15" t="s">
        <v>8</v>
      </c>
      <c r="D68" s="15" t="s">
        <v>26</v>
      </c>
      <c r="E68" s="15" t="s">
        <v>72</v>
      </c>
      <c r="F68" s="15">
        <f t="shared" si="0"/>
        <v>3.4722222222222099E-3</v>
      </c>
      <c r="G68" s="14">
        <f t="shared" si="1"/>
        <v>4.9999999999999822</v>
      </c>
      <c r="H68" s="14">
        <f t="shared" si="2"/>
        <v>1092</v>
      </c>
      <c r="I68" s="16">
        <f t="shared" si="3"/>
        <v>1</v>
      </c>
    </row>
    <row r="69" spans="2:9" x14ac:dyDescent="0.25">
      <c r="B69" s="14">
        <v>65</v>
      </c>
      <c r="C69" s="15" t="s">
        <v>87</v>
      </c>
      <c r="D69" s="15" t="s">
        <v>72</v>
      </c>
      <c r="E69" s="15" t="s">
        <v>28</v>
      </c>
      <c r="F69" s="15">
        <f t="shared" si="0"/>
        <v>2.0833333333333259E-3</v>
      </c>
      <c r="G69" s="14">
        <f t="shared" si="1"/>
        <v>2.9999999999999893</v>
      </c>
      <c r="H69" s="14">
        <f t="shared" si="2"/>
        <v>1094</v>
      </c>
      <c r="I69" s="16">
        <f t="shared" si="3"/>
        <v>2</v>
      </c>
    </row>
    <row r="70" spans="2:9" x14ac:dyDescent="0.25">
      <c r="B70" s="14">
        <v>66</v>
      </c>
      <c r="C70" s="15" t="s">
        <v>48</v>
      </c>
      <c r="D70" s="15" t="s">
        <v>28</v>
      </c>
      <c r="E70" s="15" t="s">
        <v>20</v>
      </c>
      <c r="F70" s="15">
        <f t="shared" ref="F70:F133" si="4">E70-D70</f>
        <v>1.388888888888884E-3</v>
      </c>
      <c r="G70" s="14">
        <f t="shared" ref="G70:G133" si="5">F70*60*24</f>
        <v>1.9999999999999929</v>
      </c>
      <c r="H70" s="14">
        <f t="shared" ref="H70:H133" si="6">C70*24*60</f>
        <v>1096</v>
      </c>
      <c r="I70" s="16">
        <f t="shared" si="3"/>
        <v>2</v>
      </c>
    </row>
    <row r="71" spans="2:9" x14ac:dyDescent="0.25">
      <c r="B71" s="14">
        <v>67</v>
      </c>
      <c r="C71" s="15" t="s">
        <v>70</v>
      </c>
      <c r="D71" s="15" t="s">
        <v>20</v>
      </c>
      <c r="E71" s="15" t="s">
        <v>57</v>
      </c>
      <c r="F71" s="15">
        <f t="shared" si="4"/>
        <v>6.9444444444444198E-4</v>
      </c>
      <c r="G71" s="14">
        <f t="shared" si="5"/>
        <v>0.99999999999999645</v>
      </c>
      <c r="H71" s="14">
        <f t="shared" si="6"/>
        <v>1097</v>
      </c>
      <c r="I71" s="16">
        <f t="shared" ref="I71:I134" si="7">H71-H70</f>
        <v>1</v>
      </c>
    </row>
    <row r="72" spans="2:9" x14ac:dyDescent="0.25">
      <c r="B72" s="14">
        <v>68</v>
      </c>
      <c r="C72" s="15" t="s">
        <v>10</v>
      </c>
      <c r="D72" s="15" t="s">
        <v>57</v>
      </c>
      <c r="E72" s="15" t="s">
        <v>21</v>
      </c>
      <c r="F72" s="15">
        <f t="shared" si="4"/>
        <v>6.9444444444444198E-4</v>
      </c>
      <c r="G72" s="14">
        <f t="shared" si="5"/>
        <v>0.99999999999999645</v>
      </c>
      <c r="H72" s="14">
        <f t="shared" si="6"/>
        <v>1099</v>
      </c>
      <c r="I72" s="16">
        <f t="shared" si="7"/>
        <v>2</v>
      </c>
    </row>
    <row r="73" spans="2:9" x14ac:dyDescent="0.25">
      <c r="B73" s="14">
        <v>69</v>
      </c>
      <c r="C73" s="15" t="s">
        <v>24</v>
      </c>
      <c r="D73" s="15" t="s">
        <v>21</v>
      </c>
      <c r="E73" s="15" t="s">
        <v>88</v>
      </c>
      <c r="F73" s="15">
        <f t="shared" si="4"/>
        <v>1.2499999999999956E-2</v>
      </c>
      <c r="G73" s="14">
        <f t="shared" si="5"/>
        <v>17.999999999999936</v>
      </c>
      <c r="H73" s="14">
        <f t="shared" si="6"/>
        <v>1100.9999999999998</v>
      </c>
      <c r="I73" s="16">
        <f t="shared" si="7"/>
        <v>1.9999999999997726</v>
      </c>
    </row>
    <row r="74" spans="2:9" x14ac:dyDescent="0.25">
      <c r="B74" s="14">
        <v>70</v>
      </c>
      <c r="C74" s="15" t="s">
        <v>16</v>
      </c>
      <c r="D74" s="15" t="s">
        <v>88</v>
      </c>
      <c r="E74" s="15" t="s">
        <v>81</v>
      </c>
      <c r="F74" s="15">
        <f t="shared" si="4"/>
        <v>4.8611111111112049E-3</v>
      </c>
      <c r="G74" s="14">
        <f t="shared" si="5"/>
        <v>7.000000000000135</v>
      </c>
      <c r="H74" s="14">
        <f t="shared" si="6"/>
        <v>1108</v>
      </c>
      <c r="I74" s="16">
        <f t="shared" si="7"/>
        <v>7.0000000000002274</v>
      </c>
    </row>
    <row r="75" spans="2:9" x14ac:dyDescent="0.25">
      <c r="B75" s="14">
        <v>71</v>
      </c>
      <c r="C75" s="15" t="s">
        <v>78</v>
      </c>
      <c r="D75" s="15" t="s">
        <v>81</v>
      </c>
      <c r="E75" s="15" t="s">
        <v>76</v>
      </c>
      <c r="F75" s="15">
        <f t="shared" si="4"/>
        <v>6.9444444444444198E-4</v>
      </c>
      <c r="G75" s="14">
        <f t="shared" si="5"/>
        <v>0.99999999999999645</v>
      </c>
      <c r="H75" s="14">
        <f t="shared" si="6"/>
        <v>1112</v>
      </c>
      <c r="I75" s="16">
        <f t="shared" si="7"/>
        <v>4</v>
      </c>
    </row>
    <row r="76" spans="2:9" x14ac:dyDescent="0.25">
      <c r="B76" s="14">
        <v>72</v>
      </c>
      <c r="C76" s="15" t="s">
        <v>78</v>
      </c>
      <c r="D76" s="15" t="s">
        <v>76</v>
      </c>
      <c r="E76" s="15" t="s">
        <v>89</v>
      </c>
      <c r="F76" s="15">
        <f t="shared" si="4"/>
        <v>1.041666666666663E-2</v>
      </c>
      <c r="G76" s="14">
        <f t="shared" si="5"/>
        <v>14.999999999999947</v>
      </c>
      <c r="H76" s="14">
        <f t="shared" si="6"/>
        <v>1112</v>
      </c>
      <c r="I76" s="16">
        <f t="shared" si="7"/>
        <v>0</v>
      </c>
    </row>
    <row r="77" spans="2:9" x14ac:dyDescent="0.25">
      <c r="B77" s="14">
        <v>73</v>
      </c>
      <c r="C77" s="15" t="s">
        <v>73</v>
      </c>
      <c r="D77" s="15" t="s">
        <v>89</v>
      </c>
      <c r="E77" s="15" t="s">
        <v>90</v>
      </c>
      <c r="F77" s="15">
        <f t="shared" si="4"/>
        <v>5.5555555555555358E-3</v>
      </c>
      <c r="G77" s="14">
        <f t="shared" si="5"/>
        <v>7.9999999999999716</v>
      </c>
      <c r="H77" s="14">
        <f t="shared" si="6"/>
        <v>1117</v>
      </c>
      <c r="I77" s="16">
        <f t="shared" si="7"/>
        <v>5</v>
      </c>
    </row>
    <row r="78" spans="2:9" x14ac:dyDescent="0.25">
      <c r="B78" s="14">
        <v>74</v>
      </c>
      <c r="C78" s="15" t="s">
        <v>28</v>
      </c>
      <c r="D78" s="15" t="s">
        <v>90</v>
      </c>
      <c r="E78" s="15" t="s">
        <v>91</v>
      </c>
      <c r="F78" s="15">
        <f t="shared" si="4"/>
        <v>1.388888888888884E-3</v>
      </c>
      <c r="G78" s="14">
        <f t="shared" si="5"/>
        <v>1.9999999999999929</v>
      </c>
      <c r="H78" s="14">
        <f t="shared" si="6"/>
        <v>1119</v>
      </c>
      <c r="I78" s="16">
        <f t="shared" si="7"/>
        <v>2</v>
      </c>
    </row>
    <row r="79" spans="2:9" x14ac:dyDescent="0.25">
      <c r="B79" s="14">
        <v>75</v>
      </c>
      <c r="C79" s="15" t="s">
        <v>19</v>
      </c>
      <c r="D79" s="15" t="s">
        <v>91</v>
      </c>
      <c r="E79" s="15" t="s">
        <v>92</v>
      </c>
      <c r="F79" s="15">
        <f t="shared" si="4"/>
        <v>1.388888888888884E-3</v>
      </c>
      <c r="G79" s="14">
        <f t="shared" si="5"/>
        <v>1.9999999999999929</v>
      </c>
      <c r="H79" s="14">
        <f t="shared" si="6"/>
        <v>1120</v>
      </c>
      <c r="I79" s="16">
        <f t="shared" si="7"/>
        <v>1</v>
      </c>
    </row>
    <row r="80" spans="2:9" x14ac:dyDescent="0.25">
      <c r="B80" s="14">
        <v>76</v>
      </c>
      <c r="C80" s="15" t="s">
        <v>20</v>
      </c>
      <c r="D80" s="15" t="s">
        <v>92</v>
      </c>
      <c r="E80" s="15" t="s">
        <v>93</v>
      </c>
      <c r="F80" s="15">
        <f t="shared" si="4"/>
        <v>2.0833333333333259E-3</v>
      </c>
      <c r="G80" s="14">
        <f t="shared" si="5"/>
        <v>2.9999999999999893</v>
      </c>
      <c r="H80" s="14">
        <f t="shared" si="6"/>
        <v>1121</v>
      </c>
      <c r="I80" s="16">
        <f t="shared" si="7"/>
        <v>1</v>
      </c>
    </row>
    <row r="81" spans="2:9" x14ac:dyDescent="0.25">
      <c r="B81" s="14">
        <v>77</v>
      </c>
      <c r="C81" s="15" t="s">
        <v>21</v>
      </c>
      <c r="D81" s="15" t="s">
        <v>93</v>
      </c>
      <c r="E81" s="15" t="s">
        <v>94</v>
      </c>
      <c r="F81" s="15">
        <f t="shared" si="4"/>
        <v>6.9444444444444198E-4</v>
      </c>
      <c r="G81" s="14">
        <f t="shared" si="5"/>
        <v>0.99999999999999645</v>
      </c>
      <c r="H81" s="14">
        <f t="shared" si="6"/>
        <v>1123</v>
      </c>
      <c r="I81" s="16">
        <f t="shared" si="7"/>
        <v>2</v>
      </c>
    </row>
    <row r="82" spans="2:9" x14ac:dyDescent="0.25">
      <c r="B82" s="14">
        <v>78</v>
      </c>
      <c r="C82" s="15" t="s">
        <v>21</v>
      </c>
      <c r="D82" s="15" t="s">
        <v>94</v>
      </c>
      <c r="E82" s="15" t="s">
        <v>95</v>
      </c>
      <c r="F82" s="15">
        <f t="shared" si="4"/>
        <v>6.9444444444444198E-4</v>
      </c>
      <c r="G82" s="14">
        <f t="shared" si="5"/>
        <v>0.99999999999999645</v>
      </c>
      <c r="H82" s="14">
        <f t="shared" si="6"/>
        <v>1123</v>
      </c>
      <c r="I82" s="16">
        <f t="shared" si="7"/>
        <v>0</v>
      </c>
    </row>
    <row r="83" spans="2:9" x14ac:dyDescent="0.25">
      <c r="B83" s="14">
        <v>79</v>
      </c>
      <c r="C83" s="15" t="s">
        <v>74</v>
      </c>
      <c r="D83" s="15" t="s">
        <v>95</v>
      </c>
      <c r="E83" s="15" t="s">
        <v>96</v>
      </c>
      <c r="F83" s="15">
        <f t="shared" si="4"/>
        <v>7.6388888888888618E-3</v>
      </c>
      <c r="G83" s="14">
        <f t="shared" si="5"/>
        <v>10.999999999999961</v>
      </c>
      <c r="H83" s="14">
        <f t="shared" si="6"/>
        <v>1127</v>
      </c>
      <c r="I83" s="16">
        <f t="shared" si="7"/>
        <v>4</v>
      </c>
    </row>
    <row r="84" spans="2:9" x14ac:dyDescent="0.25">
      <c r="B84" s="14">
        <v>80</v>
      </c>
      <c r="C84" s="15" t="s">
        <v>51</v>
      </c>
      <c r="D84" s="15" t="s">
        <v>96</v>
      </c>
      <c r="E84" s="15" t="s">
        <v>97</v>
      </c>
      <c r="F84" s="15">
        <f t="shared" si="4"/>
        <v>2.083333333333437E-3</v>
      </c>
      <c r="G84" s="14">
        <f t="shared" si="5"/>
        <v>3.0000000000001492</v>
      </c>
      <c r="H84" s="14">
        <f t="shared" si="6"/>
        <v>1129</v>
      </c>
      <c r="I84" s="16">
        <f t="shared" si="7"/>
        <v>2</v>
      </c>
    </row>
    <row r="85" spans="2:9" x14ac:dyDescent="0.25">
      <c r="B85" s="14">
        <v>81</v>
      </c>
      <c r="C85" s="15" t="s">
        <v>23</v>
      </c>
      <c r="D85" s="15" t="s">
        <v>97</v>
      </c>
      <c r="E85" s="15" t="s">
        <v>98</v>
      </c>
      <c r="F85" s="15">
        <f t="shared" si="4"/>
        <v>6.9444444444444198E-4</v>
      </c>
      <c r="G85" s="14">
        <f t="shared" si="5"/>
        <v>0.99999999999999645</v>
      </c>
      <c r="H85" s="14">
        <f t="shared" si="6"/>
        <v>1130</v>
      </c>
      <c r="I85" s="16">
        <f t="shared" si="7"/>
        <v>1</v>
      </c>
    </row>
    <row r="86" spans="2:9" x14ac:dyDescent="0.25">
      <c r="B86" s="14">
        <v>82</v>
      </c>
      <c r="C86" s="15" t="s">
        <v>75</v>
      </c>
      <c r="D86" s="15" t="s">
        <v>98</v>
      </c>
      <c r="E86" s="15" t="s">
        <v>99</v>
      </c>
      <c r="F86" s="15">
        <f t="shared" si="4"/>
        <v>6.9444444444444198E-4</v>
      </c>
      <c r="G86" s="14">
        <f t="shared" si="5"/>
        <v>0.99999999999999645</v>
      </c>
      <c r="H86" s="14">
        <f t="shared" si="6"/>
        <v>1131</v>
      </c>
      <c r="I86" s="16">
        <f t="shared" si="7"/>
        <v>1</v>
      </c>
    </row>
    <row r="87" spans="2:9" x14ac:dyDescent="0.25">
      <c r="B87" s="14">
        <v>83</v>
      </c>
      <c r="C87" s="15" t="s">
        <v>32</v>
      </c>
      <c r="D87" s="15" t="s">
        <v>99</v>
      </c>
      <c r="E87" s="15" t="s">
        <v>100</v>
      </c>
      <c r="F87" s="15">
        <f t="shared" si="4"/>
        <v>2.0833333333333259E-3</v>
      </c>
      <c r="G87" s="14">
        <f t="shared" si="5"/>
        <v>2.9999999999999893</v>
      </c>
      <c r="H87" s="14">
        <f t="shared" si="6"/>
        <v>1132</v>
      </c>
      <c r="I87" s="16">
        <f t="shared" si="7"/>
        <v>1</v>
      </c>
    </row>
    <row r="88" spans="2:9" x14ac:dyDescent="0.25">
      <c r="B88" s="14">
        <v>84</v>
      </c>
      <c r="C88" s="15" t="s">
        <v>52</v>
      </c>
      <c r="D88" s="15" t="s">
        <v>100</v>
      </c>
      <c r="E88" s="15" t="s">
        <v>101</v>
      </c>
      <c r="F88" s="15">
        <f t="shared" si="4"/>
        <v>2.0833333333333259E-3</v>
      </c>
      <c r="G88" s="14">
        <f t="shared" si="5"/>
        <v>2.9999999999999893</v>
      </c>
      <c r="H88" s="14">
        <f t="shared" si="6"/>
        <v>1133</v>
      </c>
      <c r="I88" s="16">
        <f t="shared" si="7"/>
        <v>1</v>
      </c>
    </row>
    <row r="89" spans="2:9" x14ac:dyDescent="0.25">
      <c r="B89" s="14">
        <v>85</v>
      </c>
      <c r="C89" s="15" t="s">
        <v>34</v>
      </c>
      <c r="D89" s="15" t="s">
        <v>101</v>
      </c>
      <c r="E89" s="15" t="s">
        <v>102</v>
      </c>
      <c r="F89" s="15">
        <f t="shared" si="4"/>
        <v>6.9444444444444198E-4</v>
      </c>
      <c r="G89" s="14">
        <f t="shared" si="5"/>
        <v>0.99999999999999645</v>
      </c>
      <c r="H89" s="14">
        <f t="shared" si="6"/>
        <v>1137</v>
      </c>
      <c r="I89" s="16">
        <f t="shared" si="7"/>
        <v>4</v>
      </c>
    </row>
    <row r="90" spans="2:9" x14ac:dyDescent="0.25">
      <c r="B90" s="14">
        <v>86</v>
      </c>
      <c r="C90" s="15" t="s">
        <v>53</v>
      </c>
      <c r="D90" s="15" t="s">
        <v>102</v>
      </c>
      <c r="E90" s="15" t="s">
        <v>103</v>
      </c>
      <c r="F90" s="15">
        <f t="shared" si="4"/>
        <v>1.388888888888884E-3</v>
      </c>
      <c r="G90" s="14">
        <f t="shared" si="5"/>
        <v>1.9999999999999929</v>
      </c>
      <c r="H90" s="14">
        <f t="shared" si="6"/>
        <v>1138</v>
      </c>
      <c r="I90" s="16">
        <f t="shared" si="7"/>
        <v>1</v>
      </c>
    </row>
    <row r="91" spans="2:9" x14ac:dyDescent="0.25">
      <c r="B91" s="14">
        <v>87</v>
      </c>
      <c r="C91" s="15" t="s">
        <v>112</v>
      </c>
      <c r="D91" s="15" t="s">
        <v>112</v>
      </c>
      <c r="E91" s="15" t="s">
        <v>4</v>
      </c>
      <c r="F91" s="15">
        <f t="shared" si="4"/>
        <v>2.7777777777777679E-3</v>
      </c>
      <c r="G91" s="14">
        <f t="shared" si="5"/>
        <v>3.9999999999999858</v>
      </c>
      <c r="H91" s="14">
        <f t="shared" si="6"/>
        <v>1081</v>
      </c>
      <c r="I91" s="16"/>
    </row>
    <row r="92" spans="2:9" x14ac:dyDescent="0.25">
      <c r="B92" s="14">
        <v>88</v>
      </c>
      <c r="C92" s="15" t="s">
        <v>5</v>
      </c>
      <c r="D92" s="15" t="s">
        <v>5</v>
      </c>
      <c r="E92" s="15" t="s">
        <v>6</v>
      </c>
      <c r="F92" s="15">
        <f t="shared" si="4"/>
        <v>1.388888888888884E-3</v>
      </c>
      <c r="G92" s="14">
        <f t="shared" si="5"/>
        <v>1.9999999999999929</v>
      </c>
      <c r="H92" s="14">
        <f t="shared" si="6"/>
        <v>1087</v>
      </c>
      <c r="I92" s="16">
        <f t="shared" si="7"/>
        <v>6</v>
      </c>
    </row>
    <row r="93" spans="2:9" x14ac:dyDescent="0.25">
      <c r="B93" s="14">
        <v>89</v>
      </c>
      <c r="C93" s="15" t="s">
        <v>86</v>
      </c>
      <c r="D93" s="15" t="s">
        <v>6</v>
      </c>
      <c r="E93" s="15" t="s">
        <v>7</v>
      </c>
      <c r="F93" s="15">
        <f t="shared" si="4"/>
        <v>6.9444444444444198E-4</v>
      </c>
      <c r="G93" s="14">
        <f t="shared" si="5"/>
        <v>0.99999999999999645</v>
      </c>
      <c r="H93" s="14">
        <f t="shared" si="6"/>
        <v>1088</v>
      </c>
      <c r="I93" s="16">
        <f t="shared" si="7"/>
        <v>1</v>
      </c>
    </row>
    <row r="94" spans="2:9" x14ac:dyDescent="0.25">
      <c r="B94" s="14">
        <v>90</v>
      </c>
      <c r="C94" s="15" t="s">
        <v>46</v>
      </c>
      <c r="D94" s="15" t="s">
        <v>46</v>
      </c>
      <c r="E94" s="15" t="s">
        <v>48</v>
      </c>
      <c r="F94" s="15">
        <f t="shared" si="4"/>
        <v>3.4722222222222099E-3</v>
      </c>
      <c r="G94" s="14">
        <f t="shared" si="5"/>
        <v>4.9999999999999822</v>
      </c>
      <c r="H94" s="14">
        <f t="shared" si="6"/>
        <v>1091</v>
      </c>
      <c r="I94" s="16">
        <f t="shared" si="7"/>
        <v>3</v>
      </c>
    </row>
    <row r="95" spans="2:9" x14ac:dyDescent="0.25">
      <c r="B95" s="14">
        <v>91</v>
      </c>
      <c r="C95" s="15" t="s">
        <v>68</v>
      </c>
      <c r="D95" s="15" t="s">
        <v>48</v>
      </c>
      <c r="E95" s="15" t="s">
        <v>70</v>
      </c>
      <c r="F95" s="15">
        <f t="shared" si="4"/>
        <v>6.9444444444444198E-4</v>
      </c>
      <c r="G95" s="14">
        <f t="shared" si="5"/>
        <v>0.99999999999999645</v>
      </c>
      <c r="H95" s="14">
        <f t="shared" si="6"/>
        <v>1093</v>
      </c>
      <c r="I95" s="16">
        <f t="shared" si="7"/>
        <v>2</v>
      </c>
    </row>
    <row r="96" spans="2:9" x14ac:dyDescent="0.25">
      <c r="B96" s="14">
        <v>92</v>
      </c>
      <c r="C96" s="15" t="s">
        <v>70</v>
      </c>
      <c r="D96" s="15" t="s">
        <v>70</v>
      </c>
      <c r="E96" s="15" t="s">
        <v>24</v>
      </c>
      <c r="F96" s="15">
        <f t="shared" si="4"/>
        <v>2.7777777777777679E-3</v>
      </c>
      <c r="G96" s="14">
        <f t="shared" si="5"/>
        <v>3.9999999999999858</v>
      </c>
      <c r="H96" s="14">
        <f t="shared" si="6"/>
        <v>1097</v>
      </c>
      <c r="I96" s="16">
        <f t="shared" si="7"/>
        <v>4</v>
      </c>
    </row>
    <row r="97" spans="2:9" x14ac:dyDescent="0.25">
      <c r="B97" s="14">
        <v>93</v>
      </c>
      <c r="C97" s="15" t="s">
        <v>10</v>
      </c>
      <c r="D97" s="15" t="s">
        <v>24</v>
      </c>
      <c r="E97" s="15" t="s">
        <v>13</v>
      </c>
      <c r="F97" s="15">
        <f t="shared" si="4"/>
        <v>2.083333333333437E-3</v>
      </c>
      <c r="G97" s="14">
        <f t="shared" si="5"/>
        <v>3.0000000000001492</v>
      </c>
      <c r="H97" s="14">
        <f t="shared" si="6"/>
        <v>1099</v>
      </c>
      <c r="I97" s="16">
        <f t="shared" si="7"/>
        <v>2</v>
      </c>
    </row>
    <row r="98" spans="2:9" x14ac:dyDescent="0.25">
      <c r="B98" s="14">
        <v>94</v>
      </c>
      <c r="C98" s="15" t="s">
        <v>25</v>
      </c>
      <c r="D98" s="15" t="s">
        <v>13</v>
      </c>
      <c r="E98" s="15" t="s">
        <v>54</v>
      </c>
      <c r="F98" s="15">
        <f t="shared" si="4"/>
        <v>3.4722222222222099E-3</v>
      </c>
      <c r="G98" s="14">
        <f t="shared" si="5"/>
        <v>4.9999999999999822</v>
      </c>
      <c r="H98" s="14">
        <f t="shared" si="6"/>
        <v>1102</v>
      </c>
      <c r="I98" s="16">
        <f t="shared" si="7"/>
        <v>3</v>
      </c>
    </row>
    <row r="99" spans="2:9" x14ac:dyDescent="0.25">
      <c r="B99" s="14">
        <v>95</v>
      </c>
      <c r="C99" s="15" t="s">
        <v>17</v>
      </c>
      <c r="D99" s="15" t="s">
        <v>17</v>
      </c>
      <c r="E99" s="15" t="s">
        <v>26</v>
      </c>
      <c r="F99" s="15">
        <f t="shared" si="4"/>
        <v>6.9444444444444198E-4</v>
      </c>
      <c r="G99" s="14">
        <f t="shared" si="5"/>
        <v>0.99999999999999645</v>
      </c>
      <c r="H99" s="14">
        <f t="shared" si="6"/>
        <v>1110</v>
      </c>
      <c r="I99" s="16">
        <f t="shared" si="7"/>
        <v>8</v>
      </c>
    </row>
    <row r="100" spans="2:9" x14ac:dyDescent="0.25">
      <c r="B100" s="14">
        <v>96</v>
      </c>
      <c r="C100" s="15" t="s">
        <v>78</v>
      </c>
      <c r="D100" s="15" t="s">
        <v>78</v>
      </c>
      <c r="E100" s="15" t="s">
        <v>19</v>
      </c>
      <c r="F100" s="15">
        <f t="shared" si="4"/>
        <v>5.5555555555555358E-3</v>
      </c>
      <c r="G100" s="14">
        <f t="shared" si="5"/>
        <v>7.9999999999999716</v>
      </c>
      <c r="H100" s="14">
        <f t="shared" si="6"/>
        <v>1112</v>
      </c>
      <c r="I100" s="16">
        <f t="shared" si="7"/>
        <v>2</v>
      </c>
    </row>
    <row r="101" spans="2:9" x14ac:dyDescent="0.25">
      <c r="B101" s="14">
        <v>97</v>
      </c>
      <c r="C101" s="15" t="s">
        <v>50</v>
      </c>
      <c r="D101" s="15" t="s">
        <v>19</v>
      </c>
      <c r="E101" s="15" t="s">
        <v>20</v>
      </c>
      <c r="F101" s="15">
        <f t="shared" si="4"/>
        <v>6.9444444444444198E-4</v>
      </c>
      <c r="G101" s="14">
        <f t="shared" si="5"/>
        <v>0.99999999999999645</v>
      </c>
      <c r="H101" s="14">
        <f t="shared" si="6"/>
        <v>1115.0000000000002</v>
      </c>
      <c r="I101" s="16">
        <f t="shared" si="7"/>
        <v>3.0000000000002274</v>
      </c>
    </row>
    <row r="102" spans="2:9" x14ac:dyDescent="0.25">
      <c r="B102" s="14">
        <v>98</v>
      </c>
      <c r="C102" s="15" t="s">
        <v>73</v>
      </c>
      <c r="D102" s="15" t="s">
        <v>20</v>
      </c>
      <c r="E102" s="15" t="s">
        <v>30</v>
      </c>
      <c r="F102" s="15">
        <f t="shared" si="4"/>
        <v>2.7777777777777679E-3</v>
      </c>
      <c r="G102" s="14">
        <f t="shared" si="5"/>
        <v>3.9999999999999858</v>
      </c>
      <c r="H102" s="14">
        <f t="shared" si="6"/>
        <v>1117</v>
      </c>
      <c r="I102" s="16">
        <f t="shared" si="7"/>
        <v>1.9999999999997726</v>
      </c>
    </row>
    <row r="103" spans="2:9" x14ac:dyDescent="0.25">
      <c r="B103" s="14">
        <v>99</v>
      </c>
      <c r="C103" s="15" t="s">
        <v>21</v>
      </c>
      <c r="D103" s="15" t="s">
        <v>30</v>
      </c>
      <c r="E103" s="15" t="s">
        <v>22</v>
      </c>
      <c r="F103" s="15">
        <f t="shared" si="4"/>
        <v>2.0833333333333259E-3</v>
      </c>
      <c r="G103" s="14">
        <f t="shared" si="5"/>
        <v>2.9999999999999893</v>
      </c>
      <c r="H103" s="14">
        <f t="shared" si="6"/>
        <v>1123</v>
      </c>
      <c r="I103" s="16">
        <f t="shared" si="7"/>
        <v>6</v>
      </c>
    </row>
    <row r="104" spans="2:9" x14ac:dyDescent="0.25">
      <c r="B104" s="14">
        <v>100</v>
      </c>
      <c r="C104" s="15" t="s">
        <v>21</v>
      </c>
      <c r="D104" s="15" t="s">
        <v>22</v>
      </c>
      <c r="E104" s="15" t="s">
        <v>51</v>
      </c>
      <c r="F104" s="15">
        <f t="shared" si="4"/>
        <v>6.9444444444444198E-4</v>
      </c>
      <c r="G104" s="14">
        <f t="shared" si="5"/>
        <v>0.99999999999999645</v>
      </c>
      <c r="H104" s="14">
        <f t="shared" si="6"/>
        <v>1123</v>
      </c>
      <c r="I104" s="16">
        <f t="shared" si="7"/>
        <v>0</v>
      </c>
    </row>
    <row r="105" spans="2:9" x14ac:dyDescent="0.25">
      <c r="B105" s="14">
        <v>101</v>
      </c>
      <c r="C105" s="15" t="s">
        <v>30</v>
      </c>
      <c r="D105" s="15" t="s">
        <v>51</v>
      </c>
      <c r="E105" s="15" t="s">
        <v>32</v>
      </c>
      <c r="F105" s="15">
        <f t="shared" si="4"/>
        <v>2.0833333333333259E-3</v>
      </c>
      <c r="G105" s="14">
        <f t="shared" si="5"/>
        <v>2.9999999999999893</v>
      </c>
      <c r="H105" s="14">
        <f t="shared" si="6"/>
        <v>1125</v>
      </c>
      <c r="I105" s="16">
        <f t="shared" si="7"/>
        <v>2</v>
      </c>
    </row>
    <row r="106" spans="2:9" x14ac:dyDescent="0.25">
      <c r="B106" s="14">
        <v>102</v>
      </c>
      <c r="C106" s="15" t="s">
        <v>31</v>
      </c>
      <c r="D106" s="15" t="s">
        <v>32</v>
      </c>
      <c r="E106" s="15" t="s">
        <v>52</v>
      </c>
      <c r="F106" s="15">
        <f t="shared" si="4"/>
        <v>6.9444444444444198E-4</v>
      </c>
      <c r="G106" s="14">
        <f t="shared" si="5"/>
        <v>0.99999999999999645</v>
      </c>
      <c r="H106" s="14">
        <f t="shared" si="6"/>
        <v>1126</v>
      </c>
      <c r="I106" s="16">
        <f t="shared" si="7"/>
        <v>1</v>
      </c>
    </row>
    <row r="107" spans="2:9" x14ac:dyDescent="0.25">
      <c r="B107" s="14">
        <v>103</v>
      </c>
      <c r="C107" s="15" t="s">
        <v>74</v>
      </c>
      <c r="D107" s="15" t="s">
        <v>52</v>
      </c>
      <c r="E107" s="15" t="s">
        <v>33</v>
      </c>
      <c r="F107" s="15">
        <f t="shared" si="4"/>
        <v>2.0833333333333259E-3</v>
      </c>
      <c r="G107" s="14">
        <f t="shared" si="5"/>
        <v>2.9999999999999893</v>
      </c>
      <c r="H107" s="14">
        <f t="shared" si="6"/>
        <v>1127</v>
      </c>
      <c r="I107" s="16">
        <f t="shared" si="7"/>
        <v>1</v>
      </c>
    </row>
    <row r="108" spans="2:9" x14ac:dyDescent="0.25">
      <c r="B108" s="14">
        <v>104</v>
      </c>
      <c r="C108" s="15" t="s">
        <v>74</v>
      </c>
      <c r="D108" s="15" t="s">
        <v>33</v>
      </c>
      <c r="E108" s="15" t="s">
        <v>37</v>
      </c>
      <c r="F108" s="15">
        <f t="shared" si="4"/>
        <v>7.6388888888888618E-3</v>
      </c>
      <c r="G108" s="14">
        <f t="shared" si="5"/>
        <v>10.999999999999961</v>
      </c>
      <c r="H108" s="14">
        <f t="shared" si="6"/>
        <v>1127</v>
      </c>
      <c r="I108" s="16">
        <f t="shared" si="7"/>
        <v>0</v>
      </c>
    </row>
    <row r="109" spans="2:9" x14ac:dyDescent="0.25">
      <c r="B109" s="14">
        <v>105</v>
      </c>
      <c r="C109" s="15" t="s">
        <v>75</v>
      </c>
      <c r="D109" s="15" t="s">
        <v>37</v>
      </c>
      <c r="E109" s="15" t="s">
        <v>81</v>
      </c>
      <c r="F109" s="15">
        <f t="shared" si="4"/>
        <v>6.94444444444553E-4</v>
      </c>
      <c r="G109" s="14">
        <f t="shared" si="5"/>
        <v>1.0000000000001563</v>
      </c>
      <c r="H109" s="14">
        <f t="shared" si="6"/>
        <v>1131</v>
      </c>
      <c r="I109" s="16">
        <f t="shared" si="7"/>
        <v>4</v>
      </c>
    </row>
    <row r="110" spans="2:9" x14ac:dyDescent="0.25">
      <c r="B110" s="14">
        <v>106</v>
      </c>
      <c r="C110" s="15" t="s">
        <v>79</v>
      </c>
      <c r="D110" s="15" t="s">
        <v>81</v>
      </c>
      <c r="E110" s="15" t="s">
        <v>38</v>
      </c>
      <c r="F110" s="15">
        <f t="shared" si="4"/>
        <v>2.0833333333333259E-3</v>
      </c>
      <c r="G110" s="14">
        <f t="shared" si="5"/>
        <v>2.9999999999999893</v>
      </c>
      <c r="H110" s="14">
        <f t="shared" si="6"/>
        <v>1134</v>
      </c>
      <c r="I110" s="16">
        <f t="shared" si="7"/>
        <v>3</v>
      </c>
    </row>
    <row r="111" spans="2:9" x14ac:dyDescent="0.25">
      <c r="B111" s="14">
        <v>107</v>
      </c>
      <c r="C111" s="15" t="s">
        <v>67</v>
      </c>
      <c r="D111" s="15" t="s">
        <v>67</v>
      </c>
      <c r="E111" s="15" t="s">
        <v>86</v>
      </c>
      <c r="F111" s="15">
        <f t="shared" si="4"/>
        <v>3.4722222222222099E-3</v>
      </c>
      <c r="G111" s="14">
        <f t="shared" si="5"/>
        <v>4.9999999999999822</v>
      </c>
      <c r="H111" s="14">
        <f t="shared" si="6"/>
        <v>1083</v>
      </c>
      <c r="I111" s="16"/>
    </row>
    <row r="112" spans="2:9" x14ac:dyDescent="0.25">
      <c r="B112" s="14">
        <v>108</v>
      </c>
      <c r="C112" s="15" t="s">
        <v>7</v>
      </c>
      <c r="D112" s="15" t="s">
        <v>7</v>
      </c>
      <c r="E112" s="15" t="s">
        <v>87</v>
      </c>
      <c r="F112" s="15">
        <f t="shared" si="4"/>
        <v>2.7777777777777679E-3</v>
      </c>
      <c r="G112" s="14">
        <f t="shared" si="5"/>
        <v>3.9999999999999858</v>
      </c>
      <c r="H112" s="14">
        <f t="shared" si="6"/>
        <v>1089.9999999999998</v>
      </c>
      <c r="I112" s="16">
        <f t="shared" si="7"/>
        <v>6.9999999999997726</v>
      </c>
    </row>
    <row r="113" spans="2:9" x14ac:dyDescent="0.25">
      <c r="B113" s="14">
        <v>109</v>
      </c>
      <c r="C113" s="15" t="s">
        <v>68</v>
      </c>
      <c r="D113" s="15" t="s">
        <v>87</v>
      </c>
      <c r="E113" s="15" t="s">
        <v>9</v>
      </c>
      <c r="F113" s="15">
        <f t="shared" si="4"/>
        <v>2.7777777777777679E-3</v>
      </c>
      <c r="G113" s="14">
        <f t="shared" si="5"/>
        <v>3.9999999999999858</v>
      </c>
      <c r="H113" s="14">
        <f t="shared" si="6"/>
        <v>1093</v>
      </c>
      <c r="I113" s="16">
        <f t="shared" si="7"/>
        <v>3.0000000000002274</v>
      </c>
    </row>
    <row r="114" spans="2:9" x14ac:dyDescent="0.25">
      <c r="B114" s="14">
        <v>110</v>
      </c>
      <c r="C114" s="15" t="s">
        <v>69</v>
      </c>
      <c r="D114" s="15" t="s">
        <v>9</v>
      </c>
      <c r="E114" s="15" t="s">
        <v>12</v>
      </c>
      <c r="F114" s="15">
        <f t="shared" si="4"/>
        <v>3.4722222222223209E-3</v>
      </c>
      <c r="G114" s="14">
        <f t="shared" si="5"/>
        <v>5.0000000000001421</v>
      </c>
      <c r="H114" s="14">
        <f t="shared" si="6"/>
        <v>1095</v>
      </c>
      <c r="I114" s="16">
        <f t="shared" si="7"/>
        <v>2</v>
      </c>
    </row>
    <row r="115" spans="2:9" x14ac:dyDescent="0.25">
      <c r="B115" s="14">
        <v>111</v>
      </c>
      <c r="C115" s="15" t="s">
        <v>25</v>
      </c>
      <c r="D115" s="15" t="s">
        <v>12</v>
      </c>
      <c r="E115" s="15" t="s">
        <v>15</v>
      </c>
      <c r="F115" s="15">
        <f t="shared" si="4"/>
        <v>2.7777777777777679E-3</v>
      </c>
      <c r="G115" s="14">
        <f t="shared" si="5"/>
        <v>3.9999999999999858</v>
      </c>
      <c r="H115" s="14">
        <f t="shared" si="6"/>
        <v>1102</v>
      </c>
      <c r="I115" s="16">
        <f t="shared" si="7"/>
        <v>7</v>
      </c>
    </row>
    <row r="116" spans="2:9" x14ac:dyDescent="0.25">
      <c r="B116" s="14">
        <v>112</v>
      </c>
      <c r="C116" s="15" t="s">
        <v>13</v>
      </c>
      <c r="D116" s="15" t="s">
        <v>15</v>
      </c>
      <c r="E116" s="15" t="s">
        <v>49</v>
      </c>
      <c r="F116" s="15">
        <f t="shared" si="4"/>
        <v>4.1666666666666519E-3</v>
      </c>
      <c r="G116" s="14">
        <f t="shared" si="5"/>
        <v>5.9999999999999787</v>
      </c>
      <c r="H116" s="14">
        <f t="shared" si="6"/>
        <v>1104.0000000000002</v>
      </c>
      <c r="I116" s="16">
        <f t="shared" si="7"/>
        <v>2.0000000000002274</v>
      </c>
    </row>
    <row r="117" spans="2:9" x14ac:dyDescent="0.25">
      <c r="B117" s="14">
        <v>113</v>
      </c>
      <c r="C117" s="15" t="s">
        <v>54</v>
      </c>
      <c r="D117" s="15" t="s">
        <v>49</v>
      </c>
      <c r="E117" s="15" t="s">
        <v>72</v>
      </c>
      <c r="F117" s="15">
        <f t="shared" si="4"/>
        <v>2.0833333333333259E-3</v>
      </c>
      <c r="G117" s="14">
        <f t="shared" si="5"/>
        <v>2.9999999999999893</v>
      </c>
      <c r="H117" s="14">
        <f t="shared" si="6"/>
        <v>1109</v>
      </c>
      <c r="I117" s="16">
        <f t="shared" si="7"/>
        <v>4.9999999999997726</v>
      </c>
    </row>
    <row r="118" spans="2:9" x14ac:dyDescent="0.25">
      <c r="B118" s="14">
        <v>114</v>
      </c>
      <c r="C118" s="15" t="s">
        <v>72</v>
      </c>
      <c r="D118" s="15" t="s">
        <v>72</v>
      </c>
      <c r="E118" s="15" t="s">
        <v>20</v>
      </c>
      <c r="F118" s="15">
        <f t="shared" si="4"/>
        <v>3.4722222222222099E-3</v>
      </c>
      <c r="G118" s="14">
        <f t="shared" si="5"/>
        <v>4.9999999999999822</v>
      </c>
      <c r="H118" s="14">
        <f t="shared" si="6"/>
        <v>1116</v>
      </c>
      <c r="I118" s="16">
        <f t="shared" si="7"/>
        <v>7</v>
      </c>
    </row>
    <row r="119" spans="2:9" x14ac:dyDescent="0.25">
      <c r="B119" s="14">
        <v>115</v>
      </c>
      <c r="C119" s="15" t="s">
        <v>20</v>
      </c>
      <c r="D119" s="15" t="s">
        <v>20</v>
      </c>
      <c r="E119" s="15" t="s">
        <v>22</v>
      </c>
      <c r="F119" s="15">
        <f t="shared" si="4"/>
        <v>4.8611111111110938E-3</v>
      </c>
      <c r="G119" s="14">
        <f t="shared" si="5"/>
        <v>6.9999999999999751</v>
      </c>
      <c r="H119" s="14">
        <f t="shared" si="6"/>
        <v>1121</v>
      </c>
      <c r="I119" s="16">
        <f t="shared" si="7"/>
        <v>5</v>
      </c>
    </row>
    <row r="120" spans="2:9" x14ac:dyDescent="0.25">
      <c r="B120" s="14">
        <v>116</v>
      </c>
      <c r="C120" s="15" t="s">
        <v>21</v>
      </c>
      <c r="D120" s="15" t="s">
        <v>22</v>
      </c>
      <c r="E120" s="15" t="s">
        <v>79</v>
      </c>
      <c r="F120" s="15">
        <f t="shared" si="4"/>
        <v>4.1666666666666519E-3</v>
      </c>
      <c r="G120" s="14">
        <f t="shared" si="5"/>
        <v>5.9999999999999787</v>
      </c>
      <c r="H120" s="14">
        <f t="shared" si="6"/>
        <v>1123</v>
      </c>
      <c r="I120" s="16">
        <f t="shared" si="7"/>
        <v>2</v>
      </c>
    </row>
    <row r="121" spans="2:9" x14ac:dyDescent="0.25">
      <c r="B121" s="14">
        <v>117</v>
      </c>
      <c r="C121" s="15" t="s">
        <v>31</v>
      </c>
      <c r="D121" s="15" t="s">
        <v>79</v>
      </c>
      <c r="E121" s="15" t="s">
        <v>88</v>
      </c>
      <c r="F121" s="15">
        <f t="shared" si="4"/>
        <v>4.8611111111110938E-3</v>
      </c>
      <c r="G121" s="14">
        <f t="shared" si="5"/>
        <v>6.9999999999999751</v>
      </c>
      <c r="H121" s="14">
        <f t="shared" si="6"/>
        <v>1126</v>
      </c>
      <c r="I121" s="16">
        <f t="shared" si="7"/>
        <v>3</v>
      </c>
    </row>
    <row r="122" spans="2:9" x14ac:dyDescent="0.25">
      <c r="B122" s="14">
        <v>118</v>
      </c>
      <c r="C122" s="15" t="s">
        <v>51</v>
      </c>
      <c r="D122" s="15" t="s">
        <v>88</v>
      </c>
      <c r="E122" s="15" t="s">
        <v>56</v>
      </c>
      <c r="F122" s="15">
        <f t="shared" si="4"/>
        <v>2.0833333333333259E-3</v>
      </c>
      <c r="G122" s="14">
        <f t="shared" si="5"/>
        <v>2.9999999999999893</v>
      </c>
      <c r="H122" s="14">
        <f t="shared" si="6"/>
        <v>1129</v>
      </c>
      <c r="I122" s="16">
        <f t="shared" si="7"/>
        <v>3</v>
      </c>
    </row>
    <row r="123" spans="2:9" x14ac:dyDescent="0.25">
      <c r="B123" s="14">
        <v>119</v>
      </c>
      <c r="C123" s="15" t="s">
        <v>23</v>
      </c>
      <c r="D123" s="15" t="s">
        <v>56</v>
      </c>
      <c r="E123" s="15" t="s">
        <v>82</v>
      </c>
      <c r="F123" s="15">
        <f t="shared" si="4"/>
        <v>5.5555555555556468E-3</v>
      </c>
      <c r="G123" s="14">
        <f t="shared" si="5"/>
        <v>8.0000000000001315</v>
      </c>
      <c r="H123" s="14">
        <f t="shared" si="6"/>
        <v>1130</v>
      </c>
      <c r="I123" s="16">
        <f t="shared" si="7"/>
        <v>1</v>
      </c>
    </row>
    <row r="124" spans="2:9" x14ac:dyDescent="0.25">
      <c r="B124" s="14">
        <v>120</v>
      </c>
      <c r="C124" s="15" t="s">
        <v>34</v>
      </c>
      <c r="D124" s="15" t="s">
        <v>82</v>
      </c>
      <c r="E124" s="15" t="s">
        <v>113</v>
      </c>
      <c r="F124" s="15">
        <f t="shared" si="4"/>
        <v>2.0833333333333259E-3</v>
      </c>
      <c r="G124" s="14">
        <f t="shared" si="5"/>
        <v>2.9999999999999893</v>
      </c>
      <c r="H124" s="14">
        <f t="shared" si="6"/>
        <v>1137</v>
      </c>
      <c r="I124" s="16">
        <f t="shared" si="7"/>
        <v>7</v>
      </c>
    </row>
    <row r="125" spans="2:9" x14ac:dyDescent="0.25">
      <c r="B125" s="14">
        <v>121</v>
      </c>
      <c r="C125" s="15" t="s">
        <v>35</v>
      </c>
      <c r="D125" s="15" t="s">
        <v>113</v>
      </c>
      <c r="E125" s="15" t="s">
        <v>60</v>
      </c>
      <c r="F125" s="15">
        <f t="shared" si="4"/>
        <v>4.1666666666666519E-3</v>
      </c>
      <c r="G125" s="14">
        <f t="shared" si="5"/>
        <v>5.9999999999999787</v>
      </c>
      <c r="H125" s="14">
        <f t="shared" si="6"/>
        <v>1139</v>
      </c>
      <c r="I125" s="16">
        <f t="shared" si="7"/>
        <v>2</v>
      </c>
    </row>
    <row r="126" spans="2:9" x14ac:dyDescent="0.25">
      <c r="B126" s="14">
        <v>122</v>
      </c>
      <c r="C126" s="15" t="s">
        <v>68</v>
      </c>
      <c r="D126" s="15" t="s">
        <v>68</v>
      </c>
      <c r="E126" s="15" t="s">
        <v>24</v>
      </c>
      <c r="F126" s="15">
        <f t="shared" si="4"/>
        <v>5.5555555555555358E-3</v>
      </c>
      <c r="G126" s="14">
        <f t="shared" si="5"/>
        <v>7.9999999999999716</v>
      </c>
      <c r="H126" s="14">
        <f t="shared" si="6"/>
        <v>1093</v>
      </c>
      <c r="I126" s="16"/>
    </row>
    <row r="127" spans="2:9" x14ac:dyDescent="0.25">
      <c r="B127" s="14">
        <v>123</v>
      </c>
      <c r="C127" s="15" t="s">
        <v>70</v>
      </c>
      <c r="D127" s="15" t="s">
        <v>24</v>
      </c>
      <c r="E127" s="15" t="s">
        <v>14</v>
      </c>
      <c r="F127" s="15">
        <f t="shared" si="4"/>
        <v>3.4722222222223209E-3</v>
      </c>
      <c r="G127" s="14">
        <f t="shared" si="5"/>
        <v>5.0000000000001421</v>
      </c>
      <c r="H127" s="14">
        <f t="shared" si="6"/>
        <v>1097</v>
      </c>
      <c r="I127" s="16">
        <f t="shared" si="7"/>
        <v>4</v>
      </c>
    </row>
    <row r="128" spans="2:9" x14ac:dyDescent="0.25">
      <c r="B128" s="14">
        <v>124</v>
      </c>
      <c r="C128" s="15" t="s">
        <v>24</v>
      </c>
      <c r="D128" s="15" t="s">
        <v>14</v>
      </c>
      <c r="E128" s="15" t="s">
        <v>54</v>
      </c>
      <c r="F128" s="15">
        <f t="shared" si="4"/>
        <v>2.0833333333333259E-3</v>
      </c>
      <c r="G128" s="14">
        <f t="shared" si="5"/>
        <v>2.9999999999999893</v>
      </c>
      <c r="H128" s="14">
        <f t="shared" si="6"/>
        <v>1100.9999999999998</v>
      </c>
      <c r="I128" s="16">
        <f t="shared" si="7"/>
        <v>3.9999999999997726</v>
      </c>
    </row>
    <row r="129" spans="2:9" x14ac:dyDescent="0.25">
      <c r="B129" s="14">
        <v>125</v>
      </c>
      <c r="C129" s="15" t="s">
        <v>71</v>
      </c>
      <c r="D129" s="15" t="s">
        <v>54</v>
      </c>
      <c r="E129" s="15" t="s">
        <v>72</v>
      </c>
      <c r="F129" s="15">
        <f t="shared" si="4"/>
        <v>4.8611111111110938E-3</v>
      </c>
      <c r="G129" s="14">
        <f t="shared" si="5"/>
        <v>6.9999999999999751</v>
      </c>
      <c r="H129" s="14">
        <f t="shared" si="6"/>
        <v>1105</v>
      </c>
      <c r="I129" s="16">
        <f t="shared" si="7"/>
        <v>4.0000000000002274</v>
      </c>
    </row>
    <row r="130" spans="2:9" x14ac:dyDescent="0.25">
      <c r="B130" s="14">
        <v>126</v>
      </c>
      <c r="C130" s="15" t="s">
        <v>26</v>
      </c>
      <c r="D130" s="15" t="s">
        <v>72</v>
      </c>
      <c r="E130" s="15" t="s">
        <v>19</v>
      </c>
      <c r="F130" s="15">
        <f t="shared" si="4"/>
        <v>2.7777777777777679E-3</v>
      </c>
      <c r="G130" s="14">
        <f t="shared" si="5"/>
        <v>3.9999999999999858</v>
      </c>
      <c r="H130" s="14">
        <f t="shared" si="6"/>
        <v>1111</v>
      </c>
      <c r="I130" s="16">
        <f t="shared" si="7"/>
        <v>6</v>
      </c>
    </row>
    <row r="131" spans="2:9" x14ac:dyDescent="0.25">
      <c r="B131" s="14">
        <v>127</v>
      </c>
      <c r="C131" s="15" t="s">
        <v>28</v>
      </c>
      <c r="D131" s="15" t="s">
        <v>19</v>
      </c>
      <c r="E131" s="15" t="s">
        <v>74</v>
      </c>
      <c r="F131" s="15">
        <f t="shared" si="4"/>
        <v>4.8611111111110938E-3</v>
      </c>
      <c r="G131" s="14">
        <f t="shared" si="5"/>
        <v>6.9999999999999751</v>
      </c>
      <c r="H131" s="14">
        <f t="shared" si="6"/>
        <v>1119</v>
      </c>
      <c r="I131" s="16">
        <f t="shared" si="7"/>
        <v>8</v>
      </c>
    </row>
    <row r="132" spans="2:9" x14ac:dyDescent="0.25">
      <c r="B132" s="14">
        <v>128</v>
      </c>
      <c r="C132" s="15" t="s">
        <v>29</v>
      </c>
      <c r="D132" s="15" t="s">
        <v>74</v>
      </c>
      <c r="E132" s="15" t="s">
        <v>79</v>
      </c>
      <c r="F132" s="15">
        <f t="shared" si="4"/>
        <v>4.8611111111110938E-3</v>
      </c>
      <c r="G132" s="14">
        <f t="shared" si="5"/>
        <v>6.9999999999999751</v>
      </c>
      <c r="H132" s="14">
        <f t="shared" si="6"/>
        <v>1124</v>
      </c>
      <c r="I132" s="16">
        <f t="shared" si="7"/>
        <v>5</v>
      </c>
    </row>
    <row r="133" spans="2:9" x14ac:dyDescent="0.25">
      <c r="B133" s="14">
        <v>129</v>
      </c>
      <c r="C133" s="15" t="s">
        <v>32</v>
      </c>
      <c r="D133" s="15" t="s">
        <v>79</v>
      </c>
      <c r="E133" s="15" t="s">
        <v>114</v>
      </c>
      <c r="F133" s="15">
        <f t="shared" si="4"/>
        <v>4.1666666666666519E-3</v>
      </c>
      <c r="G133" s="14">
        <f t="shared" si="5"/>
        <v>5.9999999999999787</v>
      </c>
      <c r="H133" s="14">
        <f t="shared" si="6"/>
        <v>1132</v>
      </c>
      <c r="I133" s="16">
        <f t="shared" si="7"/>
        <v>8</v>
      </c>
    </row>
    <row r="134" spans="2:9" x14ac:dyDescent="0.25">
      <c r="B134" s="14">
        <v>130</v>
      </c>
      <c r="C134" s="15" t="s">
        <v>53</v>
      </c>
      <c r="D134" s="15" t="s">
        <v>114</v>
      </c>
      <c r="E134" s="15" t="s">
        <v>36</v>
      </c>
      <c r="F134" s="15">
        <f t="shared" ref="F134:F135" si="8">E134-D134</f>
        <v>3.4722222222222099E-3</v>
      </c>
      <c r="G134" s="14">
        <f t="shared" ref="G134:G135" si="9">F134*60*24</f>
        <v>4.9999999999999822</v>
      </c>
      <c r="H134" s="14">
        <f t="shared" ref="H134:H135" si="10">C134*24*60</f>
        <v>1138</v>
      </c>
      <c r="I134" s="16">
        <f t="shared" si="7"/>
        <v>6</v>
      </c>
    </row>
    <row r="135" spans="2:9" x14ac:dyDescent="0.25">
      <c r="B135" s="14">
        <v>131</v>
      </c>
      <c r="C135" s="15" t="s">
        <v>35</v>
      </c>
      <c r="D135" s="15" t="s">
        <v>36</v>
      </c>
      <c r="E135" s="15" t="s">
        <v>38</v>
      </c>
      <c r="F135" s="15">
        <f t="shared" si="8"/>
        <v>4.1666666666667629E-3</v>
      </c>
      <c r="G135" s="14">
        <f t="shared" si="9"/>
        <v>6.0000000000001386</v>
      </c>
      <c r="H135" s="14">
        <f t="shared" si="10"/>
        <v>1139</v>
      </c>
      <c r="I135" s="16">
        <f t="shared" ref="I135" si="11">H135-H134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8DA0-7765-417B-AE0D-BFB6A4B81AFA}">
  <dimension ref="B1:O103"/>
  <sheetViews>
    <sheetView zoomScale="115" zoomScaleNormal="115" workbookViewId="0">
      <selection activeCell="L80" sqref="L80"/>
    </sheetView>
  </sheetViews>
  <sheetFormatPr defaultRowHeight="15" x14ac:dyDescent="0.25"/>
  <cols>
    <col min="3" max="3" width="13" customWidth="1"/>
    <col min="4" max="4" width="20.28515625" customWidth="1"/>
    <col min="6" max="6" width="13.85546875" customWidth="1"/>
    <col min="8" max="8" width="13.5703125" customWidth="1"/>
  </cols>
  <sheetData>
    <row r="1" spans="2:15" x14ac:dyDescent="0.25">
      <c r="B1" t="s">
        <v>149</v>
      </c>
    </row>
    <row r="2" spans="2:15" x14ac:dyDescent="0.25">
      <c r="C2" s="3" t="s">
        <v>138</v>
      </c>
    </row>
    <row r="3" spans="2:15" x14ac:dyDescent="0.25">
      <c r="C3" t="s">
        <v>133</v>
      </c>
      <c r="I3" s="3" t="s">
        <v>162</v>
      </c>
      <c r="J3" s="3"/>
      <c r="K3" s="3"/>
      <c r="L3" s="3"/>
      <c r="M3" s="3"/>
      <c r="N3" s="3"/>
      <c r="O3" s="3"/>
    </row>
    <row r="4" spans="2:15" x14ac:dyDescent="0.25">
      <c r="C4" t="s">
        <v>132</v>
      </c>
      <c r="D4" t="s">
        <v>134</v>
      </c>
      <c r="E4" t="s">
        <v>135</v>
      </c>
      <c r="I4" t="s">
        <v>163</v>
      </c>
      <c r="J4">
        <f>(-1/0.403)*LN(1-0.2)</f>
        <v>0.55370608266553278</v>
      </c>
    </row>
    <row r="5" spans="2:15" x14ac:dyDescent="0.25">
      <c r="C5" t="s">
        <v>150</v>
      </c>
      <c r="I5" t="s">
        <v>164</v>
      </c>
      <c r="J5">
        <f>(-1/0.403)*LN(1-0.4)</f>
        <v>1.2675573790719372</v>
      </c>
    </row>
    <row r="6" spans="2:15" x14ac:dyDescent="0.25">
      <c r="C6" t="s">
        <v>151</v>
      </c>
      <c r="I6" t="s">
        <v>165</v>
      </c>
      <c r="J6">
        <f>(-1/0.403)*LN(1-0.6)</f>
        <v>2.2736742726405832</v>
      </c>
    </row>
    <row r="7" spans="2:15" x14ac:dyDescent="0.25">
      <c r="C7" t="s">
        <v>117</v>
      </c>
      <c r="I7" t="s">
        <v>166</v>
      </c>
      <c r="J7">
        <f>(-1/0.403)*LN(1-0.8)</f>
        <v>3.9936424626156337</v>
      </c>
    </row>
    <row r="8" spans="2:15" x14ac:dyDescent="0.25">
      <c r="C8" t="s">
        <v>118</v>
      </c>
      <c r="I8" t="s">
        <v>167</v>
      </c>
      <c r="J8" t="s">
        <v>168</v>
      </c>
    </row>
    <row r="11" spans="2:15" x14ac:dyDescent="0.25">
      <c r="C11" s="6" t="s">
        <v>121</v>
      </c>
      <c r="D11" s="6" t="s">
        <v>125</v>
      </c>
      <c r="E11" s="6" t="s">
        <v>195</v>
      </c>
      <c r="F11" s="11" t="s">
        <v>196</v>
      </c>
      <c r="G11" s="11" t="s">
        <v>126</v>
      </c>
      <c r="H11" s="11" t="s">
        <v>127</v>
      </c>
      <c r="I11" s="3"/>
      <c r="K11" s="3"/>
      <c r="L11" s="3"/>
    </row>
    <row r="12" spans="2:15" x14ac:dyDescent="0.25">
      <c r="C12" s="9" t="s">
        <v>119</v>
      </c>
      <c r="D12" s="9">
        <v>19</v>
      </c>
      <c r="E12" s="9">
        <v>1</v>
      </c>
      <c r="F12" s="7">
        <v>0.78500000000000003</v>
      </c>
      <c r="G12" s="7">
        <f>(E12-F12)*125</f>
        <v>26.874999999999996</v>
      </c>
      <c r="H12" s="7">
        <f>(D12-G12)^2/G12</f>
        <v>2.3075581395348821</v>
      </c>
    </row>
    <row r="13" spans="2:15" x14ac:dyDescent="0.25">
      <c r="C13" s="9" t="s">
        <v>152</v>
      </c>
      <c r="D13" s="9">
        <v>31</v>
      </c>
      <c r="E13" s="9">
        <v>0.78500000000000003</v>
      </c>
      <c r="F13" s="7">
        <v>0.59199999999999997</v>
      </c>
      <c r="G13" s="7">
        <f t="shared" ref="G13:G16" si="0">(E13-F13)*125</f>
        <v>24.125000000000007</v>
      </c>
      <c r="H13" s="7">
        <f t="shared" ref="H13:H16" si="1">(D13-G13)^2/G13</f>
        <v>1.959196891191705</v>
      </c>
    </row>
    <row r="14" spans="2:15" x14ac:dyDescent="0.25">
      <c r="C14" s="9" t="s">
        <v>153</v>
      </c>
      <c r="D14" s="9">
        <v>30</v>
      </c>
      <c r="E14" s="9">
        <v>0.59199999999999997</v>
      </c>
      <c r="F14" s="7">
        <v>0.39600000000000002</v>
      </c>
      <c r="G14" s="7">
        <f t="shared" si="0"/>
        <v>24.499999999999993</v>
      </c>
      <c r="H14" s="7">
        <f t="shared" si="1"/>
        <v>1.2346938775510239</v>
      </c>
    </row>
    <row r="15" spans="2:15" x14ac:dyDescent="0.25">
      <c r="C15" s="9" t="s">
        <v>154</v>
      </c>
      <c r="D15" s="9">
        <v>22</v>
      </c>
      <c r="E15" s="9">
        <v>0.39600000000000002</v>
      </c>
      <c r="F15" s="7">
        <v>0.19900000000000001</v>
      </c>
      <c r="G15" s="7">
        <f t="shared" si="0"/>
        <v>24.625</v>
      </c>
      <c r="H15" s="7">
        <f t="shared" si="1"/>
        <v>0.27982233502538073</v>
      </c>
    </row>
    <row r="16" spans="2:15" x14ac:dyDescent="0.25">
      <c r="C16" s="10" t="s">
        <v>155</v>
      </c>
      <c r="D16" s="10">
        <v>23</v>
      </c>
      <c r="E16" s="10">
        <v>0.19900000000000001</v>
      </c>
      <c r="F16" s="8">
        <v>0</v>
      </c>
      <c r="G16" s="10">
        <f t="shared" si="0"/>
        <v>24.875</v>
      </c>
      <c r="H16" s="10">
        <f t="shared" si="1"/>
        <v>0.14133165829145727</v>
      </c>
    </row>
    <row r="18" spans="3:15" x14ac:dyDescent="0.25">
      <c r="C18" t="s">
        <v>131</v>
      </c>
      <c r="D18">
        <v>3</v>
      </c>
    </row>
    <row r="19" spans="3:15" x14ac:dyDescent="0.25">
      <c r="C19" t="s">
        <v>128</v>
      </c>
      <c r="D19">
        <v>125</v>
      </c>
    </row>
    <row r="20" spans="3:15" x14ac:dyDescent="0.25">
      <c r="C20" t="s">
        <v>129</v>
      </c>
      <c r="D20">
        <f>SUM(H12:H16)</f>
        <v>5.9226029015944492</v>
      </c>
    </row>
    <row r="21" spans="3:15" x14ac:dyDescent="0.25">
      <c r="C21" t="s">
        <v>130</v>
      </c>
      <c r="D21">
        <v>7.8150000000000004</v>
      </c>
    </row>
    <row r="23" spans="3:15" x14ac:dyDescent="0.25">
      <c r="C23" t="s">
        <v>136</v>
      </c>
    </row>
    <row r="24" spans="3:15" x14ac:dyDescent="0.25">
      <c r="C24" t="s">
        <v>197</v>
      </c>
    </row>
    <row r="28" spans="3:15" x14ac:dyDescent="0.25">
      <c r="C28" s="3" t="s">
        <v>137</v>
      </c>
    </row>
    <row r="29" spans="3:15" x14ac:dyDescent="0.25">
      <c r="C29" t="s">
        <v>140</v>
      </c>
      <c r="I29" s="3" t="s">
        <v>162</v>
      </c>
      <c r="J29" s="3"/>
      <c r="K29" s="3"/>
      <c r="L29" s="3"/>
      <c r="M29" s="3" t="s">
        <v>169</v>
      </c>
      <c r="N29" s="3"/>
      <c r="O29" s="3"/>
    </row>
    <row r="30" spans="3:15" x14ac:dyDescent="0.25">
      <c r="C30" t="s">
        <v>139</v>
      </c>
      <c r="E30" t="s">
        <v>135</v>
      </c>
      <c r="I30" t="s">
        <v>163</v>
      </c>
      <c r="J30">
        <f>(-1/0.266)*LN(1-0.2)</f>
        <v>0.83888553125642751</v>
      </c>
      <c r="M30" t="s">
        <v>170</v>
      </c>
      <c r="N30">
        <v>24.26</v>
      </c>
    </row>
    <row r="31" spans="3:15" x14ac:dyDescent="0.25">
      <c r="C31" t="s">
        <v>177</v>
      </c>
      <c r="I31" t="s">
        <v>164</v>
      </c>
      <c r="J31">
        <f>(-1/0.266)*LN(1-0.4)</f>
        <v>1.9203970818270328</v>
      </c>
      <c r="M31" t="s">
        <v>170</v>
      </c>
      <c r="N31">
        <v>26.2</v>
      </c>
    </row>
    <row r="32" spans="3:15" x14ac:dyDescent="0.25">
      <c r="C32" t="s">
        <v>178</v>
      </c>
      <c r="I32" t="s">
        <v>165</v>
      </c>
      <c r="J32">
        <f>(-1/0.66)*LN(1-0.6)</f>
        <v>1.3883192907184168</v>
      </c>
      <c r="M32" t="s">
        <v>170</v>
      </c>
      <c r="N32">
        <v>25.68</v>
      </c>
    </row>
    <row r="33" spans="3:14" x14ac:dyDescent="0.25">
      <c r="C33" t="s">
        <v>117</v>
      </c>
      <c r="I33" t="s">
        <v>166</v>
      </c>
      <c r="J33">
        <f>(-1/0.266)*LN(1-0.8)</f>
        <v>6.05051846779737</v>
      </c>
      <c r="M33" t="s">
        <v>170</v>
      </c>
      <c r="N33">
        <v>27.37</v>
      </c>
    </row>
    <row r="34" spans="3:14" x14ac:dyDescent="0.25">
      <c r="C34" t="s">
        <v>118</v>
      </c>
      <c r="I34" t="s">
        <v>167</v>
      </c>
      <c r="J34" t="s">
        <v>168</v>
      </c>
      <c r="M34" t="s">
        <v>170</v>
      </c>
      <c r="N34">
        <v>27.48</v>
      </c>
    </row>
    <row r="37" spans="3:14" x14ac:dyDescent="0.25">
      <c r="C37" s="6" t="s">
        <v>121</v>
      </c>
      <c r="D37" s="6" t="s">
        <v>125</v>
      </c>
      <c r="E37" s="11" t="s">
        <v>126</v>
      </c>
      <c r="F37" s="11" t="s">
        <v>127</v>
      </c>
    </row>
    <row r="38" spans="3:14" x14ac:dyDescent="0.25">
      <c r="C38" s="9" t="s">
        <v>156</v>
      </c>
      <c r="D38" s="9">
        <v>0</v>
      </c>
      <c r="E38" s="7">
        <f>N30</f>
        <v>24.26</v>
      </c>
      <c r="F38" s="7">
        <f>(D38-E38)^2/E38</f>
        <v>24.26</v>
      </c>
    </row>
    <row r="39" spans="3:14" x14ac:dyDescent="0.25">
      <c r="C39" s="9" t="s">
        <v>157</v>
      </c>
      <c r="D39" s="9">
        <v>32</v>
      </c>
      <c r="E39" s="7">
        <f>N31</f>
        <v>26.2</v>
      </c>
      <c r="F39" s="7">
        <f t="shared" ref="F39:F42" si="2">(D39-E39)^2/E39</f>
        <v>1.2839694656488554</v>
      </c>
    </row>
    <row r="40" spans="3:14" x14ac:dyDescent="0.25">
      <c r="C40" s="9" t="s">
        <v>158</v>
      </c>
      <c r="D40" s="9">
        <v>41</v>
      </c>
      <c r="E40" s="7">
        <f>N32</f>
        <v>25.68</v>
      </c>
      <c r="F40" s="7">
        <f t="shared" si="2"/>
        <v>9.1395015576323999</v>
      </c>
    </row>
    <row r="41" spans="3:14" x14ac:dyDescent="0.25">
      <c r="C41" s="9" t="s">
        <v>159</v>
      </c>
      <c r="D41" s="9">
        <v>39</v>
      </c>
      <c r="E41" s="7">
        <f>N33</f>
        <v>27.37</v>
      </c>
      <c r="F41" s="7">
        <f t="shared" si="2"/>
        <v>4.9417939349652897</v>
      </c>
    </row>
    <row r="42" spans="3:14" x14ac:dyDescent="0.25">
      <c r="C42" s="10" t="s">
        <v>160</v>
      </c>
      <c r="D42" s="10">
        <v>19</v>
      </c>
      <c r="E42" s="8">
        <f>N34</f>
        <v>27.48</v>
      </c>
      <c r="F42" s="8">
        <f t="shared" si="2"/>
        <v>2.6168267831149929</v>
      </c>
    </row>
    <row r="45" spans="3:14" x14ac:dyDescent="0.25">
      <c r="C45" t="s">
        <v>131</v>
      </c>
      <c r="D45">
        <v>3</v>
      </c>
    </row>
    <row r="46" spans="3:14" x14ac:dyDescent="0.25">
      <c r="C46" t="s">
        <v>128</v>
      </c>
      <c r="D46">
        <v>131</v>
      </c>
    </row>
    <row r="47" spans="3:14" x14ac:dyDescent="0.25">
      <c r="C47" t="s">
        <v>129</v>
      </c>
      <c r="D47">
        <f>SUM(F38:F42)</f>
        <v>42.242091741361541</v>
      </c>
    </row>
    <row r="48" spans="3:14" x14ac:dyDescent="0.25">
      <c r="C48" t="s">
        <v>130</v>
      </c>
      <c r="D48">
        <v>7.8150000000000004</v>
      </c>
    </row>
    <row r="50" spans="3:15" x14ac:dyDescent="0.25">
      <c r="C50" t="s">
        <v>136</v>
      </c>
    </row>
    <row r="51" spans="3:15" x14ac:dyDescent="0.25">
      <c r="C51" t="s">
        <v>173</v>
      </c>
    </row>
    <row r="55" spans="3:15" x14ac:dyDescent="0.25">
      <c r="C55" s="3" t="s">
        <v>137</v>
      </c>
    </row>
    <row r="56" spans="3:15" x14ac:dyDescent="0.25">
      <c r="C56" t="s">
        <v>174</v>
      </c>
      <c r="I56" s="3" t="s">
        <v>162</v>
      </c>
      <c r="J56" s="3"/>
      <c r="K56" s="3"/>
      <c r="L56" s="3"/>
      <c r="M56" s="3" t="s">
        <v>181</v>
      </c>
      <c r="N56" s="3"/>
      <c r="O56" s="3"/>
    </row>
    <row r="57" spans="3:15" x14ac:dyDescent="0.25">
      <c r="C57" t="s">
        <v>175</v>
      </c>
      <c r="E57" t="s">
        <v>135</v>
      </c>
      <c r="I57" t="s">
        <v>163</v>
      </c>
      <c r="J57">
        <f>(-1/0.256)*LN(1-0.2)</f>
        <v>0.87165449732113165</v>
      </c>
      <c r="M57" t="s">
        <v>170</v>
      </c>
      <c r="N57">
        <v>10.952999999999999</v>
      </c>
    </row>
    <row r="58" spans="3:15" x14ac:dyDescent="0.25">
      <c r="C58" t="s">
        <v>177</v>
      </c>
      <c r="I58" t="s">
        <v>164</v>
      </c>
      <c r="J58">
        <f>(-1/0.256)*LN(1-0.4)</f>
        <v>1.9954125928359012</v>
      </c>
      <c r="M58" t="s">
        <v>170</v>
      </c>
      <c r="N58">
        <v>26.812000000000001</v>
      </c>
    </row>
    <row r="59" spans="3:15" x14ac:dyDescent="0.25">
      <c r="C59" t="s">
        <v>180</v>
      </c>
      <c r="D59" t="s">
        <v>179</v>
      </c>
      <c r="I59" t="s">
        <v>165</v>
      </c>
      <c r="J59">
        <f>(-1/0.256)*LN(1-0.6)</f>
        <v>3.5792606713834179</v>
      </c>
      <c r="M59" t="s">
        <v>170</v>
      </c>
      <c r="N59">
        <v>34.079000000000001</v>
      </c>
    </row>
    <row r="60" spans="3:15" x14ac:dyDescent="0.25">
      <c r="C60" t="s">
        <v>117</v>
      </c>
      <c r="I60" t="s">
        <v>166</v>
      </c>
      <c r="J60">
        <f>(-1/0.256)*LN(1-0.8)</f>
        <v>6.2868668454457053</v>
      </c>
      <c r="M60" t="s">
        <v>170</v>
      </c>
      <c r="N60">
        <v>36.683</v>
      </c>
    </row>
    <row r="61" spans="3:15" x14ac:dyDescent="0.25">
      <c r="C61" t="s">
        <v>118</v>
      </c>
      <c r="I61" t="s">
        <v>167</v>
      </c>
      <c r="J61" t="s">
        <v>168</v>
      </c>
      <c r="M61" t="s">
        <v>170</v>
      </c>
      <c r="N61">
        <v>22.472999999999999</v>
      </c>
    </row>
    <row r="64" spans="3:15" x14ac:dyDescent="0.25">
      <c r="C64" s="6" t="s">
        <v>121</v>
      </c>
      <c r="D64" s="6" t="s">
        <v>125</v>
      </c>
      <c r="E64" s="11" t="s">
        <v>126</v>
      </c>
      <c r="F64" s="11" t="s">
        <v>127</v>
      </c>
    </row>
    <row r="65" spans="3:6" x14ac:dyDescent="0.25">
      <c r="C65" s="9" t="s">
        <v>156</v>
      </c>
      <c r="D65" s="9">
        <v>0</v>
      </c>
      <c r="E65" s="7">
        <f>N57</f>
        <v>10.952999999999999</v>
      </c>
      <c r="F65" s="7">
        <f>(D65-E65)^2/E65</f>
        <v>10.952999999999999</v>
      </c>
    </row>
    <row r="66" spans="3:6" x14ac:dyDescent="0.25">
      <c r="C66" s="9" t="s">
        <v>157</v>
      </c>
      <c r="D66" s="9">
        <v>32</v>
      </c>
      <c r="E66" s="7">
        <f>N58</f>
        <v>26.812000000000001</v>
      </c>
      <c r="F66" s="7">
        <f t="shared" ref="F66:F69" si="3">(D66-E66)^2/E66</f>
        <v>1.0038543935551241</v>
      </c>
    </row>
    <row r="67" spans="3:6" x14ac:dyDescent="0.25">
      <c r="C67" s="9" t="s">
        <v>158</v>
      </c>
      <c r="D67" s="9">
        <v>41</v>
      </c>
      <c r="E67" s="7">
        <f>N59</f>
        <v>34.079000000000001</v>
      </c>
      <c r="F67" s="7">
        <f t="shared" si="3"/>
        <v>1.4055647466181518</v>
      </c>
    </row>
    <row r="68" spans="3:6" x14ac:dyDescent="0.25">
      <c r="C68" s="9" t="s">
        <v>159</v>
      </c>
      <c r="D68" s="9">
        <v>39</v>
      </c>
      <c r="E68" s="7">
        <f>N60</f>
        <v>36.683</v>
      </c>
      <c r="F68" s="7">
        <f t="shared" si="3"/>
        <v>0.14634814491726417</v>
      </c>
    </row>
    <row r="69" spans="3:6" x14ac:dyDescent="0.25">
      <c r="C69" s="10" t="s">
        <v>160</v>
      </c>
      <c r="D69" s="10">
        <v>19</v>
      </c>
      <c r="E69" s="8">
        <f>N61</f>
        <v>22.472999999999999</v>
      </c>
      <c r="F69" s="8">
        <f t="shared" si="3"/>
        <v>0.53672090953588725</v>
      </c>
    </row>
    <row r="72" spans="3:6" x14ac:dyDescent="0.25">
      <c r="C72" t="s">
        <v>131</v>
      </c>
      <c r="D72">
        <v>2</v>
      </c>
    </row>
    <row r="73" spans="3:6" x14ac:dyDescent="0.25">
      <c r="C73" t="s">
        <v>128</v>
      </c>
      <c r="D73">
        <v>131</v>
      </c>
    </row>
    <row r="74" spans="3:6" x14ac:dyDescent="0.25">
      <c r="C74" t="s">
        <v>129</v>
      </c>
      <c r="D74">
        <f>SUM(F65:F69)</f>
        <v>14.045488194626426</v>
      </c>
    </row>
    <row r="75" spans="3:6" x14ac:dyDescent="0.25">
      <c r="C75" t="s">
        <v>130</v>
      </c>
      <c r="D75">
        <v>5.9909999999999997</v>
      </c>
    </row>
    <row r="77" spans="3:6" x14ac:dyDescent="0.25">
      <c r="C77" t="s">
        <v>136</v>
      </c>
    </row>
    <row r="78" spans="3:6" x14ac:dyDescent="0.25">
      <c r="C78" t="s">
        <v>176</v>
      </c>
    </row>
    <row r="80" spans="3:6" x14ac:dyDescent="0.25">
      <c r="C80" s="3" t="s">
        <v>137</v>
      </c>
    </row>
    <row r="81" spans="3:15" x14ac:dyDescent="0.25">
      <c r="C81" t="s">
        <v>182</v>
      </c>
      <c r="I81" s="3" t="s">
        <v>162</v>
      </c>
      <c r="J81" s="3"/>
      <c r="K81" s="3"/>
      <c r="L81" s="3"/>
      <c r="M81" s="3"/>
      <c r="N81" s="3"/>
      <c r="O81" s="3"/>
    </row>
    <row r="82" spans="3:15" x14ac:dyDescent="0.25">
      <c r="C82" t="s">
        <v>183</v>
      </c>
      <c r="E82" t="s">
        <v>135</v>
      </c>
      <c r="I82" t="s">
        <v>163</v>
      </c>
      <c r="J82">
        <f>(-1/0.256)*LN(1-0.2)</f>
        <v>0.87165449732113165</v>
      </c>
    </row>
    <row r="83" spans="3:15" x14ac:dyDescent="0.25">
      <c r="C83" t="s">
        <v>186</v>
      </c>
      <c r="I83" t="s">
        <v>164</v>
      </c>
      <c r="J83">
        <f>(-1/0.256)*LN(1-0.4)</f>
        <v>1.9954125928359012</v>
      </c>
    </row>
    <row r="84" spans="3:15" x14ac:dyDescent="0.25">
      <c r="C84" t="s">
        <v>184</v>
      </c>
      <c r="D84" s="12" t="s">
        <v>185</v>
      </c>
      <c r="I84" t="s">
        <v>165</v>
      </c>
      <c r="J84">
        <f>(-1/0.256)*LN(1-0.6)</f>
        <v>3.5792606713834179</v>
      </c>
    </row>
    <row r="85" spans="3:15" x14ac:dyDescent="0.25">
      <c r="C85" t="s">
        <v>117</v>
      </c>
      <c r="I85" t="s">
        <v>166</v>
      </c>
      <c r="J85">
        <f>(-1/0.256)*LN(1-0.8)</f>
        <v>6.2868668454457053</v>
      </c>
    </row>
    <row r="86" spans="3:15" x14ac:dyDescent="0.25">
      <c r="C86" t="s">
        <v>118</v>
      </c>
      <c r="I86" t="s">
        <v>167</v>
      </c>
      <c r="J86" t="s">
        <v>168</v>
      </c>
    </row>
    <row r="89" spans="3:15" x14ac:dyDescent="0.25">
      <c r="C89" s="6" t="s">
        <v>121</v>
      </c>
      <c r="D89" s="6" t="s">
        <v>125</v>
      </c>
      <c r="E89" s="6" t="s">
        <v>195</v>
      </c>
      <c r="F89" s="11" t="s">
        <v>196</v>
      </c>
      <c r="G89" s="11" t="s">
        <v>126</v>
      </c>
      <c r="H89" s="11" t="s">
        <v>127</v>
      </c>
    </row>
    <row r="90" spans="3:15" x14ac:dyDescent="0.25">
      <c r="C90" s="9" t="s">
        <v>156</v>
      </c>
      <c r="D90" s="9">
        <v>0</v>
      </c>
      <c r="E90" s="9">
        <v>0</v>
      </c>
      <c r="F90" s="7">
        <f>(_xlfn.LOGNORM.DIST(0.8,1.102,0.665,TRUE))</f>
        <v>2.3147314232479576E-2</v>
      </c>
      <c r="G90" s="7">
        <f>(F90-E90)*131</f>
        <v>3.0322981644548244</v>
      </c>
      <c r="H90" s="7">
        <f>(D90-G90)^2/G90</f>
        <v>3.0322981644548248</v>
      </c>
    </row>
    <row r="91" spans="3:15" x14ac:dyDescent="0.25">
      <c r="C91" s="9" t="s">
        <v>157</v>
      </c>
      <c r="D91" s="9">
        <v>32</v>
      </c>
      <c r="E91" s="9">
        <f>(_xlfn.LOGNORM.DIST(0.8,1.102,0.665,TRUE))</f>
        <v>2.3147314232479576E-2</v>
      </c>
      <c r="F91" s="7">
        <f>(_xlfn.LOGNORM.DIST(1.9,1.102,0.665,TRUE))</f>
        <v>0.24448466503363736</v>
      </c>
      <c r="G91" s="7">
        <f t="shared" ref="G91:G94" si="4">(F91-E91)*131</f>
        <v>28.995192954951673</v>
      </c>
      <c r="H91" s="7">
        <f t="shared" ref="H91:H94" si="5">(D91-G91)^2/G91</f>
        <v>0.31139180180658704</v>
      </c>
    </row>
    <row r="92" spans="3:15" x14ac:dyDescent="0.25">
      <c r="C92" s="9" t="s">
        <v>158</v>
      </c>
      <c r="D92" s="9">
        <v>41</v>
      </c>
      <c r="E92" s="9">
        <f>(_xlfn.LOGNORM.DIST(1.9,1.102,0.665,TRUE))</f>
        <v>0.24448466503363736</v>
      </c>
      <c r="F92" s="7">
        <f>(_xlfn.LOGNORM.DIST(3.4,1.102,0.665,TRUE))</f>
        <v>0.57264844092948564</v>
      </c>
      <c r="G92" s="7">
        <f t="shared" si="4"/>
        <v>42.989454642356122</v>
      </c>
      <c r="H92" s="7">
        <f t="shared" si="5"/>
        <v>9.2067457168733338E-2</v>
      </c>
    </row>
    <row r="93" spans="3:15" x14ac:dyDescent="0.25">
      <c r="C93" s="9" t="s">
        <v>159</v>
      </c>
      <c r="D93" s="9">
        <v>39</v>
      </c>
      <c r="E93" s="9">
        <f>(_xlfn.LOGNORM.DIST(3.4,1.102,0.665,TRUE))</f>
        <v>0.57264844092948564</v>
      </c>
      <c r="F93" s="7">
        <f>(_xlfn.LOGNORM.DIST(6.1,1.102,0.665,TRUE))</f>
        <v>0.85590221709383563</v>
      </c>
      <c r="G93" s="7">
        <f t="shared" si="4"/>
        <v>37.106244677529851</v>
      </c>
      <c r="H93" s="7">
        <f t="shared" si="5"/>
        <v>9.6649748648796899E-2</v>
      </c>
    </row>
    <row r="94" spans="3:15" x14ac:dyDescent="0.25">
      <c r="C94" s="10" t="s">
        <v>160</v>
      </c>
      <c r="D94" s="10">
        <v>19</v>
      </c>
      <c r="E94" s="10">
        <f>(_xlfn.LOGNORM.DIST(6.1,1.102,0.665,TRUE))</f>
        <v>0.85590221709383563</v>
      </c>
      <c r="F94" s="8">
        <f>(_xlfn.LOGNORM.DIST(19,1.102,0.665,TRUE))</f>
        <v>0.99720221474068349</v>
      </c>
      <c r="G94" s="10">
        <f t="shared" si="4"/>
        <v>18.510299691737071</v>
      </c>
      <c r="H94" s="10">
        <f t="shared" si="5"/>
        <v>1.2955294938841878E-2</v>
      </c>
      <c r="N94" s="21"/>
      <c r="O94" s="21"/>
    </row>
    <row r="95" spans="3:15" x14ac:dyDescent="0.25">
      <c r="N95" s="22"/>
      <c r="O95" s="22"/>
    </row>
    <row r="96" spans="3:15" x14ac:dyDescent="0.25">
      <c r="N96" s="22"/>
      <c r="O96" s="22"/>
    </row>
    <row r="97" spans="3:15" x14ac:dyDescent="0.25">
      <c r="C97" t="s">
        <v>131</v>
      </c>
      <c r="D97">
        <v>2</v>
      </c>
      <c r="N97" s="22"/>
      <c r="O97" s="22"/>
    </row>
    <row r="98" spans="3:15" x14ac:dyDescent="0.25">
      <c r="C98" t="s">
        <v>128</v>
      </c>
      <c r="D98">
        <v>131</v>
      </c>
      <c r="N98" s="22"/>
      <c r="O98" s="22"/>
    </row>
    <row r="99" spans="3:15" x14ac:dyDescent="0.25">
      <c r="C99" t="s">
        <v>129</v>
      </c>
      <c r="D99">
        <f>SUM(H90:H94)</f>
        <v>3.5453624670177839</v>
      </c>
      <c r="N99" s="22"/>
      <c r="O99" s="22"/>
    </row>
    <row r="100" spans="3:15" x14ac:dyDescent="0.25">
      <c r="C100" t="s">
        <v>130</v>
      </c>
      <c r="D100">
        <v>5.9909999999999997</v>
      </c>
      <c r="N100" s="22"/>
      <c r="O100" s="22"/>
    </row>
    <row r="102" spans="3:15" x14ac:dyDescent="0.25">
      <c r="C102" t="s">
        <v>136</v>
      </c>
    </row>
    <row r="103" spans="3:15" x14ac:dyDescent="0.25">
      <c r="C103" t="s">
        <v>198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5701-2984-4FC8-B525-00AC5F97EDE4}">
  <dimension ref="D3:G30"/>
  <sheetViews>
    <sheetView tabSelected="1" workbookViewId="0">
      <selection activeCell="P32" sqref="P32"/>
    </sheetView>
  </sheetViews>
  <sheetFormatPr defaultRowHeight="15" x14ac:dyDescent="0.25"/>
  <cols>
    <col min="4" max="4" width="16.85546875" customWidth="1"/>
    <col min="7" max="7" width="10.42578125" customWidth="1"/>
  </cols>
  <sheetData>
    <row r="3" spans="4:7" x14ac:dyDescent="0.25">
      <c r="D3" s="3" t="s">
        <v>193</v>
      </c>
    </row>
    <row r="4" spans="4:7" x14ac:dyDescent="0.25">
      <c r="F4" s="20" t="s">
        <v>190</v>
      </c>
      <c r="G4" s="20" t="s">
        <v>192</v>
      </c>
    </row>
    <row r="5" spans="4:7" x14ac:dyDescent="0.25">
      <c r="F5" s="14">
        <v>1</v>
      </c>
      <c r="G5" s="14">
        <v>46</v>
      </c>
    </row>
    <row r="6" spans="4:7" x14ac:dyDescent="0.25">
      <c r="F6" s="14">
        <v>2</v>
      </c>
      <c r="G6" s="14">
        <v>32</v>
      </c>
    </row>
    <row r="7" spans="4:7" x14ac:dyDescent="0.25">
      <c r="F7" s="14">
        <v>4</v>
      </c>
      <c r="G7" s="14">
        <v>23</v>
      </c>
    </row>
    <row r="8" spans="4:7" x14ac:dyDescent="0.25">
      <c r="F8" s="14">
        <v>6</v>
      </c>
      <c r="G8" s="14">
        <v>15</v>
      </c>
    </row>
    <row r="9" spans="4:7" x14ac:dyDescent="0.25">
      <c r="F9" s="14">
        <v>8</v>
      </c>
      <c r="G9" s="14">
        <v>9</v>
      </c>
    </row>
    <row r="10" spans="4:7" x14ac:dyDescent="0.25">
      <c r="F10" s="14" t="s">
        <v>191</v>
      </c>
      <c r="G10" s="14">
        <v>0</v>
      </c>
    </row>
    <row r="19" spans="4:7" x14ac:dyDescent="0.25">
      <c r="D19" s="3" t="s">
        <v>194</v>
      </c>
    </row>
    <row r="20" spans="4:7" x14ac:dyDescent="0.25">
      <c r="F20" s="20" t="s">
        <v>190</v>
      </c>
      <c r="G20" s="20" t="s">
        <v>192</v>
      </c>
    </row>
    <row r="21" spans="4:7" x14ac:dyDescent="0.25">
      <c r="F21" s="14">
        <v>1</v>
      </c>
      <c r="G21" s="14">
        <v>30</v>
      </c>
    </row>
    <row r="22" spans="4:7" x14ac:dyDescent="0.25">
      <c r="F22" s="14">
        <v>3.125</v>
      </c>
      <c r="G22" s="14">
        <v>43</v>
      </c>
    </row>
    <row r="23" spans="4:7" x14ac:dyDescent="0.25">
      <c r="F23" s="14">
        <v>5.25</v>
      </c>
      <c r="G23" s="14">
        <v>31</v>
      </c>
    </row>
    <row r="24" spans="4:7" x14ac:dyDescent="0.25">
      <c r="F24" s="14">
        <v>7.375</v>
      </c>
      <c r="G24" s="14">
        <v>17</v>
      </c>
    </row>
    <row r="25" spans="4:7" x14ac:dyDescent="0.25">
      <c r="F25" s="14">
        <v>9.5</v>
      </c>
      <c r="G25" s="14">
        <v>6</v>
      </c>
    </row>
    <row r="26" spans="4:7" x14ac:dyDescent="0.25">
      <c r="F26" s="14">
        <v>11.625</v>
      </c>
      <c r="G26" s="14">
        <v>2</v>
      </c>
    </row>
    <row r="27" spans="4:7" x14ac:dyDescent="0.25">
      <c r="F27" s="14">
        <v>13.75</v>
      </c>
      <c r="G27" s="14">
        <v>0</v>
      </c>
    </row>
    <row r="28" spans="4:7" x14ac:dyDescent="0.25">
      <c r="F28" s="14">
        <v>15.875</v>
      </c>
      <c r="G28" s="14">
        <v>1</v>
      </c>
    </row>
    <row r="29" spans="4:7" x14ac:dyDescent="0.25">
      <c r="F29" s="14">
        <v>18</v>
      </c>
      <c r="G29" s="14">
        <v>1</v>
      </c>
    </row>
    <row r="30" spans="4:7" x14ac:dyDescent="0.25">
      <c r="F30" s="14" t="s">
        <v>191</v>
      </c>
      <c r="G30" s="14">
        <v>0</v>
      </c>
    </row>
  </sheetData>
  <sortState xmlns:xlrd2="http://schemas.microsoft.com/office/spreadsheetml/2017/richdata2" ref="F5:F9">
    <sortCondition ref="F5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13DFB3-6FEA-42B3-BB05-1F8E0A5AFA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server1</vt:lpstr>
      <vt:lpstr>server1 chi square</vt:lpstr>
      <vt:lpstr>server1 Histogram</vt:lpstr>
      <vt:lpstr>server 2</vt:lpstr>
      <vt:lpstr>server2 chi square</vt:lpstr>
      <vt:lpstr>server2  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</dc:creator>
  <cp:lastModifiedBy>SYED MAHAD UR RAYYAN</cp:lastModifiedBy>
  <cp:lastPrinted>2025-09-16T19:16:06Z</cp:lastPrinted>
  <dcterms:created xsi:type="dcterms:W3CDTF">2025-08-18T20:47:02Z</dcterms:created>
  <dcterms:modified xsi:type="dcterms:W3CDTF">2025-11-30T20:41:07Z</dcterms:modified>
</cp:coreProperties>
</file>